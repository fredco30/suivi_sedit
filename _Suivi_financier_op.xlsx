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6.1.7\users\Commun CTM\3_OPERATIONS-PROJETS\1_En cours\PdS_POSTE SECOURS - REHABILITATION\_Budgets-factures-ADMIN\_SUIVI BDC-FACTURES\"/>
    </mc:Choice>
  </mc:AlternateContent>
  <xr:revisionPtr revIDLastSave="0" documentId="13_ncr:1_{6FF1287E-AE92-4A30-80D7-C7FA19E0623C}" xr6:coauthVersionLast="47" xr6:coauthVersionMax="47" xr10:uidLastSave="{00000000-0000-0000-0000-000000000000}"/>
  <bookViews>
    <workbookView xWindow="-120" yWindow="-120" windowWidth="25440" windowHeight="15270" firstSheet="3" activeTab="4" xr2:uid="{4F531FC8-99BA-4D0C-9EB5-E1D6E83B4B4C}"/>
  </bookViews>
  <sheets>
    <sheet name="Erreurs" sheetId="1" state="hidden" r:id="rId1"/>
    <sheet name="Initial incomplet-faux" sheetId="2" state="hidden" r:id="rId2"/>
    <sheet name="A jour" sheetId="4" state="hidden" r:id="rId3"/>
    <sheet name="ADMIN" sheetId="6" r:id="rId4"/>
    <sheet name="FINANCIER" sheetId="5" r:id="rId5"/>
    <sheet name="MOE" sheetId="7" r:id="rId6"/>
    <sheet name="Feuil1" sheetId="3" state="hidden" r:id="rId7"/>
  </sheets>
  <definedNames>
    <definedName name="_xlnm.Print_Area" localSheetId="3">ADMIN!$A$1:$J$16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32" i="5" l="1"/>
  <c r="N98" i="5"/>
  <c r="O98" i="5"/>
  <c r="Q98" i="5"/>
  <c r="R94" i="5"/>
  <c r="P94" i="5"/>
  <c r="N94" i="5"/>
  <c r="N95" i="5"/>
  <c r="O95" i="5"/>
  <c r="P95" i="5" s="1"/>
  <c r="R95" i="5" s="1"/>
  <c r="Q95" i="5"/>
  <c r="N97" i="5"/>
  <c r="O97" i="5"/>
  <c r="P97" i="5" s="1"/>
  <c r="R97" i="5" s="1"/>
  <c r="Q97" i="5"/>
  <c r="N91" i="5"/>
  <c r="O91" i="5"/>
  <c r="P91" i="5" s="1"/>
  <c r="R91" i="5" s="1"/>
  <c r="Q91" i="5"/>
  <c r="O107" i="5"/>
  <c r="P107" i="5" s="1"/>
  <c r="R107" i="5" s="1"/>
  <c r="Q107" i="5"/>
  <c r="N107" i="5"/>
  <c r="F121" i="5"/>
  <c r="P98" i="5" l="1"/>
  <c r="R98" i="5" s="1"/>
  <c r="F105" i="5"/>
  <c r="N109" i="5"/>
  <c r="O109" i="5"/>
  <c r="Q109" i="5"/>
  <c r="O115" i="5"/>
  <c r="Q115" i="5"/>
  <c r="N115" i="5"/>
  <c r="P109" i="5" l="1"/>
  <c r="R109" i="5" s="1"/>
  <c r="P115" i="5"/>
  <c r="R115" i="5" s="1"/>
  <c r="F2" i="5" l="1"/>
  <c r="O54" i="5"/>
  <c r="Q54" i="5"/>
  <c r="N54" i="5"/>
  <c r="N65" i="5"/>
  <c r="P65" i="5" s="1"/>
  <c r="R65" i="5" s="1"/>
  <c r="N106" i="5"/>
  <c r="O106" i="5"/>
  <c r="Q106" i="5"/>
  <c r="N103" i="5"/>
  <c r="O103" i="5"/>
  <c r="Q103" i="5"/>
  <c r="N104" i="5"/>
  <c r="O104" i="5"/>
  <c r="Q104" i="5"/>
  <c r="N64" i="5"/>
  <c r="P64" i="5" s="1"/>
  <c r="R64" i="5" s="1"/>
  <c r="F99" i="5"/>
  <c r="N123" i="5"/>
  <c r="O123" i="5"/>
  <c r="Q123" i="5"/>
  <c r="N45" i="5"/>
  <c r="O45" i="5"/>
  <c r="Q45" i="5"/>
  <c r="Q32" i="5"/>
  <c r="Q33" i="5"/>
  <c r="O35" i="5"/>
  <c r="Q35" i="5"/>
  <c r="O36" i="5"/>
  <c r="Q36" i="5"/>
  <c r="N36" i="5"/>
  <c r="N35" i="5"/>
  <c r="N15" i="5"/>
  <c r="O15" i="5"/>
  <c r="Q15" i="5"/>
  <c r="N16" i="5"/>
  <c r="O16" i="5"/>
  <c r="Q16" i="5"/>
  <c r="O44" i="5"/>
  <c r="Q44" i="5"/>
  <c r="N63" i="5"/>
  <c r="O63" i="5"/>
  <c r="Q63" i="5"/>
  <c r="N105" i="5"/>
  <c r="O105" i="5"/>
  <c r="Q105" i="5"/>
  <c r="N77" i="5"/>
  <c r="O77" i="5"/>
  <c r="Q77" i="5"/>
  <c r="N78" i="5"/>
  <c r="O78" i="5"/>
  <c r="Q78" i="5"/>
  <c r="O79" i="5"/>
  <c r="Q79" i="5"/>
  <c r="O80" i="5"/>
  <c r="Q80" i="5"/>
  <c r="N76" i="5"/>
  <c r="N79" i="5"/>
  <c r="N80" i="5"/>
  <c r="N33" i="5"/>
  <c r="P33" i="5" s="1"/>
  <c r="N44" i="5"/>
  <c r="N96" i="5"/>
  <c r="N42" i="5"/>
  <c r="N43" i="5"/>
  <c r="N34" i="5"/>
  <c r="O43" i="5"/>
  <c r="Q43" i="5"/>
  <c r="N32" i="5"/>
  <c r="P32" i="5" s="1"/>
  <c r="N75" i="5"/>
  <c r="O75" i="5"/>
  <c r="Q75" i="5"/>
  <c r="O76" i="5"/>
  <c r="Q76" i="5"/>
  <c r="N81" i="5"/>
  <c r="O81" i="5"/>
  <c r="Q81" i="5"/>
  <c r="N82" i="5"/>
  <c r="O82" i="5"/>
  <c r="Q82" i="5"/>
  <c r="N83" i="5"/>
  <c r="O83" i="5"/>
  <c r="Q83" i="5"/>
  <c r="N84" i="5"/>
  <c r="O84" i="5"/>
  <c r="Q84" i="5"/>
  <c r="N62" i="5"/>
  <c r="O62" i="5"/>
  <c r="Q62" i="5"/>
  <c r="N126" i="5"/>
  <c r="O126" i="5"/>
  <c r="Q126" i="5"/>
  <c r="N92" i="5"/>
  <c r="O92" i="5"/>
  <c r="Q92" i="5"/>
  <c r="N37" i="5"/>
  <c r="Q42" i="5"/>
  <c r="O42" i="5"/>
  <c r="Q41" i="5"/>
  <c r="O41" i="5"/>
  <c r="N41" i="5"/>
  <c r="Q40" i="5"/>
  <c r="O40" i="5"/>
  <c r="N40" i="5"/>
  <c r="Q39" i="5"/>
  <c r="O39" i="5"/>
  <c r="N39" i="5"/>
  <c r="Q38" i="5"/>
  <c r="O38" i="5"/>
  <c r="N38" i="5"/>
  <c r="Q37" i="5"/>
  <c r="O37" i="5"/>
  <c r="Q34" i="5"/>
  <c r="O34" i="5"/>
  <c r="Q26" i="5"/>
  <c r="O26" i="5"/>
  <c r="O28" i="5"/>
  <c r="Q28" i="5"/>
  <c r="O29" i="5"/>
  <c r="Q29" i="5"/>
  <c r="O30" i="5"/>
  <c r="Q30" i="5"/>
  <c r="O31" i="5"/>
  <c r="Q31" i="5"/>
  <c r="Q27" i="5"/>
  <c r="O27" i="5"/>
  <c r="N24" i="5"/>
  <c r="O24" i="5"/>
  <c r="Q24" i="5"/>
  <c r="N25" i="5"/>
  <c r="O25" i="5"/>
  <c r="Q25" i="5"/>
  <c r="N11" i="5"/>
  <c r="O11" i="5"/>
  <c r="Q11" i="5"/>
  <c r="N12" i="5"/>
  <c r="O12" i="5"/>
  <c r="Q12" i="5"/>
  <c r="N13" i="5"/>
  <c r="O13" i="5"/>
  <c r="Q13" i="5"/>
  <c r="O23" i="5"/>
  <c r="Q23" i="5"/>
  <c r="O8" i="5"/>
  <c r="Q8" i="5"/>
  <c r="O9" i="5"/>
  <c r="Q9" i="5"/>
  <c r="O10" i="5"/>
  <c r="Q10" i="5"/>
  <c r="O14" i="5"/>
  <c r="Q14" i="5"/>
  <c r="I20" i="5"/>
  <c r="N9" i="5"/>
  <c r="N10" i="5"/>
  <c r="N14" i="5"/>
  <c r="N23" i="5"/>
  <c r="N30" i="5"/>
  <c r="N31" i="5"/>
  <c r="I59" i="5"/>
  <c r="F46" i="5"/>
  <c r="N29" i="5"/>
  <c r="N8" i="5"/>
  <c r="N28" i="5"/>
  <c r="P54" i="5" l="1"/>
  <c r="R54" i="5" s="1"/>
  <c r="P106" i="5"/>
  <c r="R106" i="5" s="1"/>
  <c r="P104" i="5"/>
  <c r="R104" i="5" s="1"/>
  <c r="P103" i="5"/>
  <c r="R103" i="5" s="1"/>
  <c r="P123" i="5"/>
  <c r="R123" i="5"/>
  <c r="S123" i="5" s="1"/>
  <c r="P45" i="5"/>
  <c r="R45" i="5" s="1"/>
  <c r="R32" i="5"/>
  <c r="P35" i="5"/>
  <c r="R35" i="5" s="1"/>
  <c r="P36" i="5"/>
  <c r="R36" i="5" s="1"/>
  <c r="R33" i="5"/>
  <c r="P16" i="5"/>
  <c r="R16" i="5" s="1"/>
  <c r="P15" i="5"/>
  <c r="R15" i="5" s="1"/>
  <c r="P78" i="5"/>
  <c r="R78" i="5" s="1"/>
  <c r="P63" i="5"/>
  <c r="R63" i="5" s="1"/>
  <c r="P105" i="5"/>
  <c r="R105" i="5" s="1"/>
  <c r="S105" i="5" s="1"/>
  <c r="P44" i="5"/>
  <c r="R44" i="5" s="1"/>
  <c r="P77" i="5"/>
  <c r="R77" i="5" s="1"/>
  <c r="P84" i="5"/>
  <c r="R84" i="5" s="1"/>
  <c r="P80" i="5"/>
  <c r="R80" i="5" s="1"/>
  <c r="P79" i="5"/>
  <c r="R79" i="5" s="1"/>
  <c r="P43" i="5"/>
  <c r="R43" i="5" s="1"/>
  <c r="P25" i="5"/>
  <c r="R25" i="5" s="1"/>
  <c r="P62" i="5"/>
  <c r="R62" i="5" s="1"/>
  <c r="P83" i="5"/>
  <c r="R83" i="5" s="1"/>
  <c r="P126" i="5"/>
  <c r="R126" i="5" s="1"/>
  <c r="P82" i="5"/>
  <c r="R82" i="5" s="1"/>
  <c r="P76" i="5"/>
  <c r="R76" i="5" s="1"/>
  <c r="P81" i="5"/>
  <c r="R81" i="5" s="1"/>
  <c r="P75" i="5"/>
  <c r="R75" i="5" s="1"/>
  <c r="P92" i="5"/>
  <c r="R92" i="5" s="1"/>
  <c r="P37" i="5"/>
  <c r="R37" i="5" s="1"/>
  <c r="P40" i="5"/>
  <c r="R40" i="5" s="1"/>
  <c r="P42" i="5"/>
  <c r="R42" i="5" s="1"/>
  <c r="P38" i="5"/>
  <c r="R38" i="5" s="1"/>
  <c r="P41" i="5"/>
  <c r="R41" i="5" s="1"/>
  <c r="P31" i="5"/>
  <c r="R31" i="5" s="1"/>
  <c r="P39" i="5"/>
  <c r="R39" i="5" s="1"/>
  <c r="P29" i="5"/>
  <c r="R29" i="5" s="1"/>
  <c r="P12" i="5"/>
  <c r="R12" i="5" s="1"/>
  <c r="P28" i="5"/>
  <c r="R28" i="5" s="1"/>
  <c r="P11" i="5"/>
  <c r="R11" i="5" s="1"/>
  <c r="P30" i="5"/>
  <c r="R30" i="5" s="1"/>
  <c r="P34" i="5"/>
  <c r="R34" i="5" s="1"/>
  <c r="P13" i="5"/>
  <c r="R13" i="5" s="1"/>
  <c r="P24" i="5"/>
  <c r="R24" i="5" s="1"/>
  <c r="P8" i="5"/>
  <c r="R8" i="5" s="1"/>
  <c r="P14" i="5"/>
  <c r="R14" i="5" s="1"/>
  <c r="P10" i="5"/>
  <c r="R10" i="5" s="1"/>
  <c r="P23" i="5"/>
  <c r="R23" i="5" s="1"/>
  <c r="P9" i="5"/>
  <c r="R9" i="5" s="1"/>
  <c r="N70" i="5"/>
  <c r="N85" i="5"/>
  <c r="N27" i="5"/>
  <c r="P27" i="5" s="1"/>
  <c r="R27" i="5" s="1"/>
  <c r="N26" i="5"/>
  <c r="P26" i="5" s="1"/>
  <c r="R26" i="5" s="1"/>
  <c r="O71" i="5"/>
  <c r="S26" i="5" l="1"/>
  <c r="S37" i="5"/>
  <c r="S75" i="5"/>
  <c r="S81" i="5"/>
  <c r="Q129" i="5"/>
  <c r="O129" i="5"/>
  <c r="N129" i="5"/>
  <c r="Q128" i="5"/>
  <c r="O128" i="5"/>
  <c r="N128" i="5"/>
  <c r="Q127" i="5"/>
  <c r="O127" i="5"/>
  <c r="N127" i="5"/>
  <c r="Q125" i="5"/>
  <c r="O125" i="5"/>
  <c r="N125" i="5"/>
  <c r="Q122" i="5"/>
  <c r="O122" i="5"/>
  <c r="N122" i="5"/>
  <c r="Q121" i="5"/>
  <c r="O121" i="5"/>
  <c r="N121" i="5"/>
  <c r="Q120" i="5"/>
  <c r="O120" i="5"/>
  <c r="N120" i="5"/>
  <c r="Q119" i="5"/>
  <c r="O119" i="5"/>
  <c r="N119" i="5"/>
  <c r="Q118" i="5"/>
  <c r="O118" i="5"/>
  <c r="N118" i="5"/>
  <c r="Q117" i="5"/>
  <c r="O117" i="5"/>
  <c r="N117" i="5"/>
  <c r="Q116" i="5"/>
  <c r="O116" i="5"/>
  <c r="N116" i="5"/>
  <c r="Q114" i="5"/>
  <c r="O114" i="5"/>
  <c r="N114" i="5"/>
  <c r="Q113" i="5"/>
  <c r="O113" i="5"/>
  <c r="N113" i="5"/>
  <c r="Q112" i="5"/>
  <c r="O112" i="5"/>
  <c r="N112" i="5"/>
  <c r="Q111" i="5"/>
  <c r="O111" i="5"/>
  <c r="N111" i="5"/>
  <c r="Q110" i="5"/>
  <c r="O110" i="5"/>
  <c r="N110" i="5"/>
  <c r="Q108" i="5"/>
  <c r="O108" i="5"/>
  <c r="N108" i="5"/>
  <c r="Q102" i="5"/>
  <c r="O102" i="5"/>
  <c r="N102" i="5"/>
  <c r="Q101" i="5"/>
  <c r="O101" i="5"/>
  <c r="N101" i="5"/>
  <c r="Q100" i="5"/>
  <c r="O100" i="5"/>
  <c r="N100" i="5"/>
  <c r="Q99" i="5"/>
  <c r="O99" i="5"/>
  <c r="N99" i="5"/>
  <c r="Q96" i="5"/>
  <c r="O96" i="5"/>
  <c r="Q93" i="5"/>
  <c r="O93" i="5"/>
  <c r="N93" i="5"/>
  <c r="Q90" i="5"/>
  <c r="O90" i="5"/>
  <c r="N90" i="5"/>
  <c r="Q89" i="5"/>
  <c r="O89" i="5"/>
  <c r="N89" i="5"/>
  <c r="Q88" i="5"/>
  <c r="O88" i="5"/>
  <c r="N88" i="5"/>
  <c r="Q87" i="5"/>
  <c r="O87" i="5"/>
  <c r="N87" i="5"/>
  <c r="Q86" i="5"/>
  <c r="O86" i="5"/>
  <c r="N86" i="5"/>
  <c r="Q85" i="5"/>
  <c r="O85" i="5"/>
  <c r="Q74" i="5"/>
  <c r="O74" i="5"/>
  <c r="N74" i="5"/>
  <c r="Q73" i="5"/>
  <c r="O73" i="5"/>
  <c r="N73" i="5"/>
  <c r="Q72" i="5"/>
  <c r="O72" i="5"/>
  <c r="N72" i="5"/>
  <c r="Q71" i="5"/>
  <c r="N71" i="5"/>
  <c r="Q70" i="5"/>
  <c r="O70" i="5"/>
  <c r="F132" i="5"/>
  <c r="Q19" i="5"/>
  <c r="O19" i="5"/>
  <c r="N19" i="5"/>
  <c r="Q18" i="5"/>
  <c r="O18" i="5"/>
  <c r="N18" i="5"/>
  <c r="Q5" i="5"/>
  <c r="O5" i="5"/>
  <c r="N5" i="5"/>
  <c r="Q4" i="5"/>
  <c r="O4" i="5"/>
  <c r="N4" i="5"/>
  <c r="D15" i="7"/>
  <c r="E15" i="7"/>
  <c r="C15" i="7"/>
  <c r="F14" i="7"/>
  <c r="F13" i="7"/>
  <c r="F5" i="7"/>
  <c r="F6" i="7"/>
  <c r="F7" i="7"/>
  <c r="F8" i="7"/>
  <c r="F9" i="7"/>
  <c r="F10" i="7"/>
  <c r="F11" i="7"/>
  <c r="F12" i="7"/>
  <c r="F4" i="7"/>
  <c r="E14" i="7"/>
  <c r="D14" i="7"/>
  <c r="C14" i="7"/>
  <c r="P129" i="5" l="1"/>
  <c r="R129" i="5" s="1"/>
  <c r="P114" i="5"/>
  <c r="R114" i="5" s="1"/>
  <c r="P110" i="5"/>
  <c r="R110" i="5" s="1"/>
  <c r="S109" i="5" s="1"/>
  <c r="P128" i="5"/>
  <c r="R128" i="5" s="1"/>
  <c r="P120" i="5"/>
  <c r="R120" i="5" s="1"/>
  <c r="S120" i="5" s="1"/>
  <c r="P119" i="5"/>
  <c r="R119" i="5" s="1"/>
  <c r="S119" i="5" s="1"/>
  <c r="P127" i="5"/>
  <c r="R127" i="5" s="1"/>
  <c r="P122" i="5"/>
  <c r="R122" i="5" s="1"/>
  <c r="P125" i="5"/>
  <c r="R125" i="5" s="1"/>
  <c r="S125" i="5" s="1"/>
  <c r="P108" i="5"/>
  <c r="R108" i="5" s="1"/>
  <c r="S108" i="5" s="1"/>
  <c r="P116" i="5"/>
  <c r="R116" i="5" s="1"/>
  <c r="P121" i="5"/>
  <c r="R121" i="5" s="1"/>
  <c r="S121" i="5" s="1"/>
  <c r="P117" i="5"/>
  <c r="R117" i="5" s="1"/>
  <c r="P111" i="5"/>
  <c r="R111" i="5" s="1"/>
  <c r="P118" i="5"/>
  <c r="R118" i="5" s="1"/>
  <c r="P96" i="5"/>
  <c r="P100" i="5"/>
  <c r="R100" i="5" s="1"/>
  <c r="P112" i="5"/>
  <c r="R112" i="5" s="1"/>
  <c r="P101" i="5"/>
  <c r="R101" i="5" s="1"/>
  <c r="P113" i="5"/>
  <c r="R113" i="5" s="1"/>
  <c r="P73" i="5"/>
  <c r="R73" i="5" s="1"/>
  <c r="P93" i="5"/>
  <c r="P99" i="5"/>
  <c r="R99" i="5" s="1"/>
  <c r="P102" i="5"/>
  <c r="R102" i="5" s="1"/>
  <c r="S102" i="5" s="1"/>
  <c r="P18" i="5"/>
  <c r="R18" i="5" s="1"/>
  <c r="P90" i="5"/>
  <c r="R90" i="5" s="1"/>
  <c r="P70" i="5"/>
  <c r="R70" i="5" s="1"/>
  <c r="P85" i="5"/>
  <c r="R85" i="5" s="1"/>
  <c r="P89" i="5"/>
  <c r="R89" i="5" s="1"/>
  <c r="P86" i="5"/>
  <c r="R86" i="5" s="1"/>
  <c r="P87" i="5"/>
  <c r="R87" i="5" s="1"/>
  <c r="P88" i="5"/>
  <c r="R88" i="5" s="1"/>
  <c r="P72" i="5"/>
  <c r="R72" i="5" s="1"/>
  <c r="P74" i="5"/>
  <c r="R74" i="5" s="1"/>
  <c r="P71" i="5"/>
  <c r="R71" i="5" s="1"/>
  <c r="P5" i="5"/>
  <c r="R5" i="5" s="1"/>
  <c r="P19" i="5"/>
  <c r="R19" i="5" s="1"/>
  <c r="P4" i="5"/>
  <c r="R4" i="5" s="1"/>
  <c r="Q68" i="5"/>
  <c r="O68" i="5"/>
  <c r="N68" i="5"/>
  <c r="Q67" i="5"/>
  <c r="O67" i="5"/>
  <c r="N67" i="5"/>
  <c r="N3" i="5"/>
  <c r="N6" i="5"/>
  <c r="N7" i="5"/>
  <c r="N17" i="5"/>
  <c r="N20" i="5"/>
  <c r="N21" i="5"/>
  <c r="N22" i="5"/>
  <c r="N2" i="5"/>
  <c r="N48" i="5"/>
  <c r="N49" i="5"/>
  <c r="N50" i="5"/>
  <c r="N51" i="5"/>
  <c r="N52" i="5"/>
  <c r="N53" i="5"/>
  <c r="N55" i="5"/>
  <c r="N47" i="5"/>
  <c r="N46" i="5"/>
  <c r="Q55" i="5"/>
  <c r="O55" i="5"/>
  <c r="Q53" i="5"/>
  <c r="O53" i="5"/>
  <c r="Q52" i="5"/>
  <c r="O52" i="5"/>
  <c r="Q60" i="5"/>
  <c r="O60" i="5"/>
  <c r="N60" i="5"/>
  <c r="Q59" i="5"/>
  <c r="O59" i="5"/>
  <c r="N59" i="5"/>
  <c r="Q58" i="5"/>
  <c r="O58" i="5"/>
  <c r="N58" i="5"/>
  <c r="N61" i="5"/>
  <c r="O61" i="5"/>
  <c r="Q61" i="5"/>
  <c r="Q57" i="5"/>
  <c r="O57" i="5"/>
  <c r="N57" i="5"/>
  <c r="Q3" i="5"/>
  <c r="Q6" i="5"/>
  <c r="Q7" i="5"/>
  <c r="Q17" i="5"/>
  <c r="Q20" i="5"/>
  <c r="Q21" i="5"/>
  <c r="Q22" i="5"/>
  <c r="O3" i="5"/>
  <c r="O6" i="5"/>
  <c r="O7" i="5"/>
  <c r="O17" i="5"/>
  <c r="O20" i="5"/>
  <c r="O21" i="5"/>
  <c r="O22" i="5"/>
  <c r="S88" i="5" l="1"/>
  <c r="S127" i="5"/>
  <c r="S70" i="5"/>
  <c r="S112" i="5"/>
  <c r="S99" i="5"/>
  <c r="S117" i="5"/>
  <c r="S114" i="5"/>
  <c r="S85" i="5"/>
  <c r="R93" i="5"/>
  <c r="S93" i="5"/>
  <c r="R96" i="5"/>
  <c r="S96" i="5" s="1"/>
  <c r="S122" i="5"/>
  <c r="P67" i="5"/>
  <c r="R67" i="5" s="1"/>
  <c r="S67" i="5" s="1"/>
  <c r="P68" i="5"/>
  <c r="R68" i="5" s="1"/>
  <c r="S68" i="5" s="1"/>
  <c r="P60" i="5"/>
  <c r="R60" i="5" s="1"/>
  <c r="P55" i="5"/>
  <c r="R55" i="5" s="1"/>
  <c r="P53" i="5"/>
  <c r="R53" i="5" s="1"/>
  <c r="P58" i="5"/>
  <c r="R58" i="5" s="1"/>
  <c r="P52" i="5"/>
  <c r="R52" i="5" s="1"/>
  <c r="P59" i="5"/>
  <c r="R59" i="5" s="1"/>
  <c r="P3" i="5"/>
  <c r="R3" i="5" s="1"/>
  <c r="P21" i="5"/>
  <c r="R21" i="5" s="1"/>
  <c r="P20" i="5"/>
  <c r="R20" i="5" s="1"/>
  <c r="P7" i="5"/>
  <c r="R7" i="5" s="1"/>
  <c r="P6" i="5"/>
  <c r="R6" i="5" s="1"/>
  <c r="P22" i="5"/>
  <c r="R22" i="5" s="1"/>
  <c r="P17" i="5"/>
  <c r="R17" i="5" s="1"/>
  <c r="P61" i="5"/>
  <c r="R61" i="5" s="1"/>
  <c r="P57" i="5"/>
  <c r="R57" i="5" s="1"/>
  <c r="F8" i="6"/>
  <c r="H8" i="6"/>
  <c r="J8" i="6"/>
  <c r="J17" i="6" s="1"/>
  <c r="F9" i="6"/>
  <c r="H9" i="6"/>
  <c r="J9" i="6"/>
  <c r="F10" i="6"/>
  <c r="F17" i="6" s="1"/>
  <c r="K19" i="6" s="1"/>
  <c r="H10" i="6"/>
  <c r="J10" i="6"/>
  <c r="F11" i="6"/>
  <c r="H11" i="6"/>
  <c r="J11" i="6"/>
  <c r="F12" i="6"/>
  <c r="H12" i="6"/>
  <c r="J12" i="6"/>
  <c r="F13" i="6"/>
  <c r="H13" i="6"/>
  <c r="J13" i="6"/>
  <c r="F14" i="6"/>
  <c r="H14" i="6"/>
  <c r="J14" i="6"/>
  <c r="F15" i="6"/>
  <c r="H15" i="6"/>
  <c r="J15" i="6"/>
  <c r="F16" i="6"/>
  <c r="H16" i="6"/>
  <c r="J16" i="6"/>
  <c r="E17" i="6"/>
  <c r="K18" i="6" s="1"/>
  <c r="G17" i="6"/>
  <c r="H17" i="6"/>
  <c r="I17" i="6"/>
  <c r="Q56" i="5"/>
  <c r="Q46" i="5"/>
  <c r="Q2" i="5"/>
  <c r="S130" i="5"/>
  <c r="Q47" i="5"/>
  <c r="Q48" i="5"/>
  <c r="Q49" i="5"/>
  <c r="Q50" i="5"/>
  <c r="Q51" i="5"/>
  <c r="Q130" i="5"/>
  <c r="S17" i="5" l="1"/>
  <c r="N56" i="5"/>
  <c r="N132" i="5" s="1"/>
  <c r="O56" i="5"/>
  <c r="O2" i="5"/>
  <c r="P2" i="5" s="1"/>
  <c r="R2" i="5" s="1"/>
  <c r="S2" i="5" s="1"/>
  <c r="O46" i="5"/>
  <c r="O47" i="5"/>
  <c r="P47" i="5" s="1"/>
  <c r="R47" i="5" s="1"/>
  <c r="O48" i="5"/>
  <c r="P48" i="5" s="1"/>
  <c r="R48" i="5" s="1"/>
  <c r="O49" i="5"/>
  <c r="P49" i="5" s="1"/>
  <c r="R49" i="5" s="1"/>
  <c r="O50" i="5"/>
  <c r="P50" i="5" s="1"/>
  <c r="R50" i="5" s="1"/>
  <c r="O51" i="5"/>
  <c r="P51" i="5" s="1"/>
  <c r="R51" i="5" s="1"/>
  <c r="O38" i="4"/>
  <c r="M32" i="4"/>
  <c r="F63" i="4"/>
  <c r="F62" i="4"/>
  <c r="F61" i="4"/>
  <c r="F60" i="4"/>
  <c r="F59" i="4"/>
  <c r="F58" i="4"/>
  <c r="F57" i="4"/>
  <c r="F56" i="4"/>
  <c r="F54" i="4"/>
  <c r="F55" i="4"/>
  <c r="D88" i="4"/>
  <c r="C88" i="4"/>
  <c r="D84" i="4"/>
  <c r="C84" i="4"/>
  <c r="C89" i="4"/>
  <c r="L73" i="4"/>
  <c r="N71" i="4"/>
  <c r="M71" i="4"/>
  <c r="N69" i="4"/>
  <c r="M69" i="4"/>
  <c r="O69" i="4"/>
  <c r="P69" i="4"/>
  <c r="P49" i="4"/>
  <c r="P47" i="4"/>
  <c r="P43" i="4"/>
  <c r="P33" i="4"/>
  <c r="P34" i="4"/>
  <c r="P35" i="4"/>
  <c r="P36" i="4"/>
  <c r="P37" i="4"/>
  <c r="N33" i="4"/>
  <c r="N31" i="4"/>
  <c r="O31" i="4"/>
  <c r="P31" i="4"/>
  <c r="P30" i="4"/>
  <c r="P29" i="4"/>
  <c r="O28" i="4"/>
  <c r="P28" i="4"/>
  <c r="P27" i="4"/>
  <c r="P25" i="4"/>
  <c r="F24" i="4"/>
  <c r="F75" i="4"/>
  <c r="K21" i="4"/>
  <c r="M21" i="4"/>
  <c r="O21" i="4"/>
  <c r="K20" i="4"/>
  <c r="M20" i="4"/>
  <c r="O20" i="4"/>
  <c r="K19" i="4"/>
  <c r="M19" i="4"/>
  <c r="O19" i="4"/>
  <c r="K18" i="4"/>
  <c r="M18" i="4"/>
  <c r="O18" i="4"/>
  <c r="K17" i="4"/>
  <c r="M17" i="4"/>
  <c r="O17" i="4"/>
  <c r="K16" i="4"/>
  <c r="M16" i="4"/>
  <c r="O16" i="4"/>
  <c r="K15" i="4"/>
  <c r="M15" i="4"/>
  <c r="O15" i="4"/>
  <c r="K14" i="4"/>
  <c r="M14" i="4"/>
  <c r="O14" i="4"/>
  <c r="K13" i="4"/>
  <c r="M13" i="4"/>
  <c r="O13" i="4"/>
  <c r="K12" i="4"/>
  <c r="M12" i="4"/>
  <c r="O12" i="4"/>
  <c r="K11" i="4"/>
  <c r="M11" i="4"/>
  <c r="O11" i="4"/>
  <c r="K10" i="4"/>
  <c r="M10" i="4"/>
  <c r="O10" i="4"/>
  <c r="K9" i="4"/>
  <c r="M9" i="4"/>
  <c r="O9" i="4"/>
  <c r="K8" i="4"/>
  <c r="M8" i="4"/>
  <c r="K7" i="4"/>
  <c r="M7" i="4"/>
  <c r="O7" i="4"/>
  <c r="N6" i="4"/>
  <c r="K6" i="4"/>
  <c r="D10" i="3"/>
  <c r="D7" i="3"/>
  <c r="D3" i="3"/>
  <c r="C9" i="3"/>
  <c r="B9" i="3"/>
  <c r="C5" i="3"/>
  <c r="C10" i="3"/>
  <c r="B5" i="3"/>
  <c r="R51" i="2"/>
  <c r="D81" i="2"/>
  <c r="C81" i="2"/>
  <c r="D85" i="2"/>
  <c r="C85" i="2"/>
  <c r="P47" i="2"/>
  <c r="P49" i="2"/>
  <c r="P30" i="2"/>
  <c r="P29" i="2"/>
  <c r="P27" i="2"/>
  <c r="P25" i="2"/>
  <c r="F24" i="2"/>
  <c r="F72" i="2"/>
  <c r="K7" i="2"/>
  <c r="M7" i="2"/>
  <c r="O7" i="2"/>
  <c r="K8" i="2"/>
  <c r="M8" i="2"/>
  <c r="O8" i="2"/>
  <c r="K9" i="2"/>
  <c r="M9" i="2"/>
  <c r="O9" i="2"/>
  <c r="K10" i="2"/>
  <c r="M10" i="2"/>
  <c r="O10" i="2"/>
  <c r="K11" i="2"/>
  <c r="M11" i="2"/>
  <c r="O11" i="2"/>
  <c r="K12" i="2"/>
  <c r="M12" i="2"/>
  <c r="O12" i="2"/>
  <c r="K13" i="2"/>
  <c r="M13" i="2"/>
  <c r="O13" i="2"/>
  <c r="K14" i="2"/>
  <c r="M14" i="2"/>
  <c r="O14" i="2"/>
  <c r="K15" i="2"/>
  <c r="M15" i="2"/>
  <c r="O15" i="2"/>
  <c r="K16" i="2"/>
  <c r="M16" i="2"/>
  <c r="O16" i="2"/>
  <c r="K17" i="2"/>
  <c r="M17" i="2"/>
  <c r="O17" i="2"/>
  <c r="K18" i="2"/>
  <c r="M18" i="2"/>
  <c r="O18" i="2"/>
  <c r="K19" i="2"/>
  <c r="M19" i="2"/>
  <c r="O19" i="2"/>
  <c r="K20" i="2"/>
  <c r="M20" i="2"/>
  <c r="O20" i="2"/>
  <c r="K21" i="2"/>
  <c r="M21" i="2"/>
  <c r="O21" i="2"/>
  <c r="K6" i="2"/>
  <c r="M6" i="2"/>
  <c r="O6" i="2"/>
  <c r="P6" i="2"/>
  <c r="P43" i="2"/>
  <c r="M68" i="2"/>
  <c r="M66" i="2"/>
  <c r="M64" i="2"/>
  <c r="M62" i="2"/>
  <c r="N33" i="2"/>
  <c r="N68" i="2"/>
  <c r="N66" i="2"/>
  <c r="N64" i="2"/>
  <c r="N62" i="2"/>
  <c r="N31" i="2"/>
  <c r="O31" i="2"/>
  <c r="P31" i="2"/>
  <c r="O28" i="2"/>
  <c r="P28" i="2"/>
  <c r="N6" i="2"/>
  <c r="K52" i="1"/>
  <c r="K50" i="1"/>
  <c r="K19" i="1"/>
  <c r="I48" i="1"/>
  <c r="K48" i="1"/>
  <c r="K18" i="1"/>
  <c r="I18" i="1"/>
  <c r="J65" i="1"/>
  <c r="K64" i="1"/>
  <c r="K61" i="1"/>
  <c r="K57" i="1"/>
  <c r="K54" i="1"/>
  <c r="K47" i="1"/>
  <c r="K16" i="1"/>
  <c r="K14" i="1"/>
  <c r="K12" i="1"/>
  <c r="I16" i="1"/>
  <c r="I14" i="1"/>
  <c r="F64" i="1"/>
  <c r="F63" i="1"/>
  <c r="C86" i="2"/>
  <c r="B10" i="3"/>
  <c r="Q132" i="5"/>
  <c r="K73" i="4"/>
  <c r="K74" i="4"/>
  <c r="O71" i="4"/>
  <c r="P71" i="4"/>
  <c r="N73" i="4"/>
  <c r="M6" i="4"/>
  <c r="O6" i="4"/>
  <c r="P6" i="4"/>
  <c r="D89" i="4"/>
  <c r="O8" i="4"/>
  <c r="F73" i="4"/>
  <c r="F76" i="4"/>
  <c r="D86" i="2"/>
  <c r="F70" i="2"/>
  <c r="F73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K70" i="2"/>
  <c r="F65" i="1"/>
  <c r="F68" i="1"/>
  <c r="F69" i="1"/>
  <c r="N70" i="2"/>
  <c r="P33" i="2"/>
  <c r="P34" i="2"/>
  <c r="P35" i="2"/>
  <c r="P36" i="2"/>
  <c r="P37" i="2"/>
  <c r="P51" i="2"/>
  <c r="Q51" i="2"/>
  <c r="O62" i="2"/>
  <c r="P62" i="2"/>
  <c r="O64" i="2"/>
  <c r="P64" i="2"/>
  <c r="O66" i="2"/>
  <c r="P66" i="2"/>
  <c r="O68" i="2"/>
  <c r="P68" i="2"/>
  <c r="L70" i="2"/>
  <c r="K65" i="1"/>
  <c r="H65" i="1"/>
  <c r="I64" i="1"/>
  <c r="I61" i="1"/>
  <c r="I57" i="1"/>
  <c r="I54" i="1"/>
  <c r="I47" i="1"/>
  <c r="I12" i="1"/>
  <c r="M73" i="4"/>
  <c r="O74" i="4"/>
  <c r="O73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L77" i="4"/>
  <c r="K71" i="2"/>
  <c r="L74" i="2"/>
  <c r="P70" i="2"/>
  <c r="M70" i="2"/>
  <c r="O71" i="2"/>
  <c r="O70" i="2"/>
  <c r="I65" i="1"/>
  <c r="P73" i="4"/>
  <c r="P56" i="5" l="1"/>
  <c r="R56" i="5" s="1"/>
  <c r="P46" i="5"/>
  <c r="R46" i="5" s="1"/>
  <c r="S46" i="5" s="1"/>
  <c r="C142" i="5"/>
  <c r="C146" i="5" s="1"/>
  <c r="O132" i="5"/>
  <c r="R66" i="5" l="1"/>
  <c r="S56" i="5"/>
  <c r="S132" i="5" s="1"/>
  <c r="O133" i="5"/>
  <c r="P132" i="5"/>
  <c r="R133" i="5" s="1"/>
  <c r="R134" i="5" s="1"/>
  <c r="R132" i="5" l="1"/>
  <c r="R135" i="5" l="1"/>
  <c r="D142" i="5"/>
  <c r="D14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tc={EB8303F7-2FDA-4E82-AED6-F3B651C146F9}</author>
    <author>tc={35768D58-1304-483D-856D-9180EEEA2347}</author>
  </authors>
  <commentList>
    <comment ref="F54" authorId="0" shapeId="0" xr:uid="{EB8303F7-2FDA-4E82-AED6-F3B651C146F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Montants faux : ??</t>
      </text>
    </comment>
    <comment ref="F55" authorId="1" shapeId="0" xr:uid="{35768D58-1304-483D-856D-9180EEEA234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Montant Faux : ??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tc={E9E5156E-E1E7-4E30-886F-DFC563A089D4}</author>
    <author>tc={40226F9A-7353-427E-9217-2991224DDA71}</author>
  </authors>
  <commentList>
    <comment ref="D26" authorId="0" shapeId="0" xr:uid="{E9E5156E-E1E7-4E30-886F-DFC563A089D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Attention le bdc est à 25k. Ne pas facturer plus que 18k- l reste chez duplan bdc a part</t>
      </text>
    </comment>
    <comment ref="E56" authorId="1" shapeId="0" xr:uid="{40226F9A-7353-427E-9217-2991224DDA7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Attention les 430euros conception de to1 et to2 ont été payés sur tf</t>
      </text>
    </comment>
  </commentList>
</comments>
</file>

<file path=xl/sharedStrings.xml><?xml version="1.0" encoding="utf-8"?>
<sst xmlns="http://schemas.openxmlformats.org/spreadsheetml/2006/main" count="628" uniqueCount="427">
  <si>
    <t>TYPE INTERVENTION</t>
  </si>
  <si>
    <t>TRAVAUX DE REHABILITATION</t>
  </si>
  <si>
    <t>AVENUE DE L'EUROPE</t>
  </si>
  <si>
    <t xml:space="preserve">DESIGNATION </t>
  </si>
  <si>
    <t>PRESTATAIRE</t>
  </si>
  <si>
    <t xml:space="preserve">Maîtrise d'œuvre </t>
  </si>
  <si>
    <t>TRAVAUX</t>
  </si>
  <si>
    <t xml:space="preserve">SOUS TOTAL TTC </t>
  </si>
  <si>
    <t>Planche d'essai</t>
  </si>
  <si>
    <t>N°FACTURES</t>
  </si>
  <si>
    <t xml:space="preserve">GAXIEU </t>
  </si>
  <si>
    <t>NH1</t>
  </si>
  <si>
    <t>NH2</t>
  </si>
  <si>
    <t>NH4</t>
  </si>
  <si>
    <t>NH5</t>
  </si>
  <si>
    <t>NH6</t>
  </si>
  <si>
    <t>NH7</t>
  </si>
  <si>
    <t>NH3</t>
  </si>
  <si>
    <t>ESQUISS</t>
  </si>
  <si>
    <t>BOUYGUES/BONDON</t>
  </si>
  <si>
    <t>22AA00373</t>
  </si>
  <si>
    <t xml:space="preserve">BOUYGUES BONDON </t>
  </si>
  <si>
    <t>21AA03988</t>
  </si>
  <si>
    <t xml:space="preserve">sit1 </t>
  </si>
  <si>
    <t>BRL</t>
  </si>
  <si>
    <t xml:space="preserve">TOTAL TTC </t>
  </si>
  <si>
    <t xml:space="preserve">ventilation budgétaire </t>
  </si>
  <si>
    <t>DSTDIR 2031 822</t>
  </si>
  <si>
    <t>DSTVRHL 2315 822</t>
  </si>
  <si>
    <t>MONTANT BDC
TTC</t>
  </si>
  <si>
    <t>Géotechnique</t>
  </si>
  <si>
    <t>ETUDES</t>
  </si>
  <si>
    <t>Travaux vrd Av. de l'Europe</t>
  </si>
  <si>
    <t>Travaux VRD av de melgueil</t>
  </si>
  <si>
    <t>SPIE BATIGNOLLES - MALLET</t>
  </si>
  <si>
    <t>Réseaux secs</t>
  </si>
  <si>
    <t>Irrigation</t>
  </si>
  <si>
    <t>Mobilier Urbain</t>
  </si>
  <si>
    <t>Bornes recharges électriques</t>
  </si>
  <si>
    <t>SOUS-TRAITANT</t>
  </si>
  <si>
    <t>N° BDC</t>
  </si>
  <si>
    <t>TOTAL INVESTISSEMENT TTC</t>
  </si>
  <si>
    <t>Convention Hérault Energie
Borne Rapide - Triton</t>
  </si>
  <si>
    <t>Convention Hérault Energie
Borne Accélérée - Europe</t>
  </si>
  <si>
    <t>pas de crédit sur DST DIR 2031 822 mais sur DSTVRHL</t>
  </si>
  <si>
    <t>1470 et 1405</t>
  </si>
  <si>
    <t>Topographie</t>
  </si>
  <si>
    <t>PAGES TIP</t>
  </si>
  <si>
    <t>22AA00831</t>
  </si>
  <si>
    <t>22AA00488</t>
  </si>
  <si>
    <t>ESQUISS MARQUAGE</t>
  </si>
  <si>
    <t>MONTANT FACTURE MANDATAIRE
TTC</t>
  </si>
  <si>
    <t>MONTANT FACTURE SOUS-TRAITANT
TTC</t>
  </si>
  <si>
    <t>MANDATAIRE</t>
  </si>
  <si>
    <t>SOUS TRAITANT</t>
  </si>
  <si>
    <t>21AA01946</t>
  </si>
  <si>
    <t>21AA03189</t>
  </si>
  <si>
    <t>21AA01939</t>
  </si>
  <si>
    <t>22AA01220</t>
  </si>
  <si>
    <t>Tvx signa</t>
  </si>
  <si>
    <t>21AA04026</t>
  </si>
  <si>
    <t>851+853+856+859+861+1267+1268+1269+1270+1271</t>
  </si>
  <si>
    <t>AGILIS</t>
  </si>
  <si>
    <t>22AA00321</t>
  </si>
  <si>
    <t>22AA1698</t>
  </si>
  <si>
    <t>22AA02073</t>
  </si>
  <si>
    <t>21AA03572</t>
  </si>
  <si>
    <t>N°MANDAT</t>
  </si>
  <si>
    <t>N°FACTURES
Fournisseur</t>
  </si>
  <si>
    <t>DSTDIR 2031 820</t>
  </si>
  <si>
    <t>ENGAGE OU DEVIS</t>
  </si>
  <si>
    <t>MANDATE</t>
  </si>
  <si>
    <t xml:space="preserve">Ventilation : </t>
  </si>
  <si>
    <t>Soit en %age de l'engagé</t>
  </si>
  <si>
    <t>MONTANT FACTURE HT</t>
  </si>
  <si>
    <t>MONTANT REVISION HT</t>
  </si>
  <si>
    <t>MONTANT REVISION
 PAR BDC
TTC</t>
  </si>
  <si>
    <t>MONTANT FACTURE MANDATAIRE YC révision
TTC</t>
  </si>
  <si>
    <t>MONTANT FACTURE PAR BDC  YC révision
TTC</t>
  </si>
  <si>
    <t>MONTANT FACTURE PAR BDC  HORS révision
TTC</t>
  </si>
  <si>
    <t>Vérif</t>
  </si>
  <si>
    <t>MONTANT RESTANT SUR BDC
TTC</t>
  </si>
  <si>
    <t>MOE</t>
  </si>
  <si>
    <t xml:space="preserve">IRIS CONSEIL REGION </t>
  </si>
  <si>
    <t>stoa</t>
  </si>
  <si>
    <t xml:space="preserve">GEOMETRE </t>
  </si>
  <si>
    <t xml:space="preserve">PAGES TIP </t>
  </si>
  <si>
    <t>19AA01018</t>
  </si>
  <si>
    <t>21AA00542</t>
  </si>
  <si>
    <t>t-210061</t>
  </si>
  <si>
    <t>22AA00289</t>
  </si>
  <si>
    <t>22aa02264</t>
  </si>
  <si>
    <t>t-220300</t>
  </si>
  <si>
    <t>22AA03163</t>
  </si>
  <si>
    <t>SPS</t>
  </si>
  <si>
    <t xml:space="preserve">SPS SUD EST </t>
  </si>
  <si>
    <t>T-220094</t>
  </si>
  <si>
    <t>etude geotechnique</t>
  </si>
  <si>
    <t xml:space="preserve">GEOTECHNIQUE </t>
  </si>
  <si>
    <t>MP 2020-19</t>
  </si>
  <si>
    <t>avi -105110</t>
  </si>
  <si>
    <t xml:space="preserve">TRAVAUX AMENAGEMENT PARKING ENTREE DE VILLE </t>
  </si>
  <si>
    <t xml:space="preserve">LIEU:ALLEE DES PEUPLIERS </t>
  </si>
  <si>
    <t>Travaux préparatoires</t>
  </si>
  <si>
    <t>22 AA00591</t>
  </si>
  <si>
    <t xml:space="preserve">MALET Nettoyage </t>
  </si>
  <si>
    <t xml:space="preserve">BRL Nettoyage </t>
  </si>
  <si>
    <t>MALET  PLATEFORME</t>
  </si>
  <si>
    <t>22AA02265</t>
  </si>
  <si>
    <t>22AA00628</t>
  </si>
  <si>
    <t>22AA02001</t>
  </si>
  <si>
    <t>22AA02072</t>
  </si>
  <si>
    <t>22AA02588</t>
  </si>
  <si>
    <t>T-220347</t>
  </si>
  <si>
    <t>SIT 10</t>
  </si>
  <si>
    <t>SIT1</t>
  </si>
  <si>
    <t>22AA03351</t>
  </si>
  <si>
    <t>22AA3531</t>
  </si>
  <si>
    <t>22AA00956</t>
  </si>
  <si>
    <t>22AA03350</t>
  </si>
  <si>
    <t xml:space="preserve">TRAVAUX </t>
  </si>
  <si>
    <t xml:space="preserve">lot1 EIFFAGE </t>
  </si>
  <si>
    <t>LOT2 BRL</t>
  </si>
  <si>
    <t>NH8</t>
  </si>
  <si>
    <t>SIT2</t>
  </si>
  <si>
    <t>SIT3</t>
  </si>
  <si>
    <t>SIT4</t>
  </si>
  <si>
    <t>SIT5</t>
  </si>
  <si>
    <t>SIT6</t>
  </si>
  <si>
    <t>SIT 7</t>
  </si>
  <si>
    <t>SIT 8</t>
  </si>
  <si>
    <t>SIT9</t>
  </si>
  <si>
    <t>OS 5876 (TF)</t>
  </si>
  <si>
    <t>OS 5897(TO1)</t>
  </si>
  <si>
    <t>OS 5906(TO2 bis)</t>
  </si>
  <si>
    <t>OS 5910(TO4)</t>
  </si>
  <si>
    <t>TOTAL OS  TF+TO1+TO2BIS+TO4</t>
  </si>
  <si>
    <t xml:space="preserve">INEO INFRACOM </t>
  </si>
  <si>
    <t>22AA03164</t>
  </si>
  <si>
    <t>Situation engagment au 14 10 2022</t>
  </si>
  <si>
    <t xml:space="preserve">MOE </t>
  </si>
  <si>
    <t>TRAVAUX PRELIMINAIRES</t>
  </si>
  <si>
    <t>SOLDE  SUR MARCHES TTC</t>
  </si>
  <si>
    <t>DSTDIR 2031 820  TTC</t>
  </si>
  <si>
    <t>DSTVRHL 2315 822  TTC</t>
  </si>
  <si>
    <t>AGGLO</t>
  </si>
  <si>
    <t>convention188-2022</t>
  </si>
  <si>
    <t xml:space="preserve">total travaux </t>
  </si>
  <si>
    <t xml:space="preserve">total engagement </t>
  </si>
  <si>
    <t>total etudes</t>
  </si>
  <si>
    <t xml:space="preserve">factures réglées </t>
  </si>
  <si>
    <t>MP 2021-25</t>
  </si>
  <si>
    <t>MP  2022-21-4</t>
  </si>
  <si>
    <t>MP 2022-21-3</t>
  </si>
  <si>
    <t>MP 2002-21-2</t>
  </si>
  <si>
    <t>MP 2002-21-1</t>
  </si>
  <si>
    <t>MP 2022-21-4</t>
  </si>
  <si>
    <t>LOT4  Gpt conjoint solidaire
BOUYGUES ES / BONDON</t>
  </si>
  <si>
    <t>LOT3 Gpt conjoint non solidaire
SOL BETON / MIGMA</t>
  </si>
  <si>
    <t>Part SOL : 375 905,50 €HT
 soit 450 986,60 €TTC</t>
  </si>
  <si>
    <t>Part MIGMA : 375 905,50 €HT
 soit 450 986,60 €TTC</t>
  </si>
  <si>
    <t>PRESTATAIRE / Num Marché</t>
  </si>
  <si>
    <t>2022-21_LOT3 
Gpt conjoint non solidaire
SOL BETON / MIGMA</t>
  </si>
  <si>
    <t>2022-21_LOT4
Gpt conjoint solidaire
BOUYGUES ES / BONDON</t>
  </si>
  <si>
    <t>N° BDC ou Tranche (TF ou TO)</t>
  </si>
  <si>
    <t>TF</t>
  </si>
  <si>
    <t>TO1</t>
  </si>
  <si>
    <t>TO2</t>
  </si>
  <si>
    <t>TO (non notifiée)</t>
  </si>
  <si>
    <t>Part SOL TF+TO :
375 905,50 €HT 
451 086,60 €TTC</t>
  </si>
  <si>
    <t>Part MIGMA TF+TO
375 905,50 €HT
451 086,60 €TTC</t>
  </si>
  <si>
    <t>MONTANT TTC BDC
ou Tranche</t>
  </si>
  <si>
    <t>Part BOUYGUES TF+TO1+TO2
364 940,00 €HT
437 928,00 €TTC</t>
  </si>
  <si>
    <t>Part BONDON TF+TO1+TO2
364 940,00 €HT
437 928,00 €TTC</t>
  </si>
  <si>
    <t>2022-21_LOT2 BRL</t>
  </si>
  <si>
    <t>SPS SUD EST 
2021-25</t>
  </si>
  <si>
    <t>GEOTECHNIQUE
2020-19</t>
  </si>
  <si>
    <t>AVI -105110</t>
  </si>
  <si>
    <t>MONTANT RESTANT SUR BDC / engagement
TTC</t>
  </si>
  <si>
    <t xml:space="preserve">ENEDIS </t>
  </si>
  <si>
    <t>BC 03767</t>
  </si>
  <si>
    <t>AUTRES</t>
  </si>
  <si>
    <t>RESEAUX</t>
  </si>
  <si>
    <t>POA</t>
  </si>
  <si>
    <t>TRAVAUX
MARCHES</t>
  </si>
  <si>
    <t>OS 5897 (TO1)</t>
  </si>
  <si>
    <t>OS 5906 (TO2 bis)</t>
  </si>
  <si>
    <t>OS 5910 (TO4)</t>
  </si>
  <si>
    <t>IRIS CONSEIL REGION 
2019-18</t>
  </si>
  <si>
    <t>STOA
pour 36 954,36 €TTC : conception urbaine et paysage - TF</t>
  </si>
  <si>
    <t>MONTANT FACTURE mandataire HT</t>
  </si>
  <si>
    <t>MONTANT FACTURE SOUS-TRAITANT
HT</t>
  </si>
  <si>
    <t>SOUS-TRAITANT ou CO-TRAITANT</t>
  </si>
  <si>
    <t>MONTANT FACTURE</t>
  </si>
  <si>
    <t>VERIF</t>
  </si>
  <si>
    <t>MONTANT RESTANT SUR BDC Hors rev / engagement
TTC</t>
  </si>
  <si>
    <t xml:space="preserve">Situation engagment au jj mm aa </t>
  </si>
  <si>
    <t>MONTANT REMB AF</t>
  </si>
  <si>
    <t>MONTANT RETENUE GARANTIE 5%</t>
  </si>
  <si>
    <t>MONTANT FACTURE PAR BDC YC révision-AF-RETGAR
TTC</t>
  </si>
  <si>
    <t>TTC</t>
  </si>
  <si>
    <t>HT</t>
  </si>
  <si>
    <t>TOTAL</t>
  </si>
  <si>
    <r>
      <rPr>
        <sz val="11"/>
        <color rgb="FFFF0000"/>
        <rFont val="Calibri"/>
        <family val="2"/>
        <scheme val="minor"/>
      </rPr>
      <t xml:space="preserve">LANGUEDOC COLORS
</t>
    </r>
    <r>
      <rPr>
        <sz val="11"/>
        <rFont val="Calibri"/>
        <family val="2"/>
        <scheme val="minor"/>
      </rPr>
      <t>34</t>
    </r>
    <r>
      <rPr>
        <sz val="11"/>
        <color theme="1"/>
        <rFont val="Calibri"/>
        <family val="2"/>
        <scheme val="minor"/>
      </rPr>
      <t xml:space="preserve"> MONTPELLIER</t>
    </r>
  </si>
  <si>
    <t>Enduits de façade</t>
  </si>
  <si>
    <r>
      <rPr>
        <sz val="11"/>
        <color rgb="FFFF0000"/>
        <rFont val="Calibri"/>
        <family val="2"/>
        <scheme val="minor"/>
      </rPr>
      <t>ACEI</t>
    </r>
    <r>
      <rPr>
        <sz val="11"/>
        <color theme="1"/>
        <rFont val="Calibri"/>
        <family val="2"/>
        <scheme val="minor"/>
      </rPr>
      <t xml:space="preserve">
30 ST HILAIRE DE BRETHMAS</t>
    </r>
  </si>
  <si>
    <t>Couverture, étanchéité</t>
  </si>
  <si>
    <r>
      <rPr>
        <sz val="11"/>
        <color rgb="FFFF0000"/>
        <rFont val="Calibri"/>
        <family val="2"/>
        <scheme val="minor"/>
      </rPr>
      <t>ETS DUMAS</t>
    </r>
    <r>
      <rPr>
        <sz val="11"/>
        <color theme="1"/>
        <rFont val="Calibri"/>
        <family val="2"/>
        <scheme val="minor"/>
      </rPr>
      <t xml:space="preserve">
34 LA GRANDE MOTTE</t>
    </r>
  </si>
  <si>
    <t>Plomberie</t>
  </si>
  <si>
    <r>
      <rPr>
        <sz val="11"/>
        <color rgb="FFFF0000"/>
        <rFont val="Calibri"/>
        <family val="2"/>
        <scheme val="minor"/>
      </rPr>
      <t>INNOVEL</t>
    </r>
    <r>
      <rPr>
        <sz val="11"/>
        <color theme="1"/>
        <rFont val="Calibri"/>
        <family val="2"/>
        <scheme val="minor"/>
      </rPr>
      <t xml:space="preserve">
34 LUNEL</t>
    </r>
  </si>
  <si>
    <t>Electricité, CFO, CFA</t>
  </si>
  <si>
    <r>
      <rPr>
        <sz val="11"/>
        <color rgb="FFFF0000"/>
        <rFont val="Calibri"/>
        <family val="2"/>
        <scheme val="minor"/>
      </rPr>
      <t>SOCAMO</t>
    </r>
    <r>
      <rPr>
        <sz val="11"/>
        <color theme="1"/>
        <rFont val="Calibri"/>
        <family val="2"/>
        <scheme val="minor"/>
      </rPr>
      <t xml:space="preserve">
34 VILLENEUVE LES MAGUELONE</t>
    </r>
  </si>
  <si>
    <t>Revêtement de sols durs, faiences</t>
  </si>
  <si>
    <r>
      <rPr>
        <sz val="11"/>
        <color rgb="FFFF0000"/>
        <rFont val="Calibri"/>
        <family val="2"/>
        <scheme val="minor"/>
      </rPr>
      <t>MATEU &amp; FILS</t>
    </r>
    <r>
      <rPr>
        <sz val="11"/>
        <color theme="1"/>
        <rFont val="Calibri"/>
        <family val="2"/>
        <scheme val="minor"/>
      </rPr>
      <t xml:space="preserve">
30 MARGUERITTES</t>
    </r>
  </si>
  <si>
    <t>Cloisons, doublages, faux plafonds, menuiseries intérieures, peintire, nettoyage</t>
  </si>
  <si>
    <r>
      <rPr>
        <sz val="11"/>
        <color rgb="FFFF0000"/>
        <rFont val="Calibri"/>
        <family val="2"/>
        <scheme val="minor"/>
      </rPr>
      <t>SERRURE METALLERIE OCCITANIE</t>
    </r>
    <r>
      <rPr>
        <sz val="11"/>
        <color theme="1"/>
        <rFont val="Calibri"/>
        <family val="2"/>
        <scheme val="minor"/>
      </rPr>
      <t xml:space="preserve">
34 LOUPIAN</t>
    </r>
  </si>
  <si>
    <t>Menuiseries extérieures</t>
  </si>
  <si>
    <r>
      <rPr>
        <sz val="11"/>
        <color rgb="FFFF0000"/>
        <rFont val="Calibri"/>
        <family val="2"/>
        <scheme val="minor"/>
      </rPr>
      <t>TBM</t>
    </r>
    <r>
      <rPr>
        <sz val="11"/>
        <color theme="1"/>
        <rFont val="Calibri"/>
        <family val="2"/>
        <scheme val="minor"/>
      </rPr>
      <t xml:space="preserve">
34 VALLERGUES</t>
    </r>
  </si>
  <si>
    <t>Ossature bois</t>
  </si>
  <si>
    <r>
      <rPr>
        <sz val="11"/>
        <color rgb="FFFF0000"/>
        <rFont val="Calibri"/>
        <family val="2"/>
        <scheme val="minor"/>
      </rPr>
      <t>CHAZELLE</t>
    </r>
    <r>
      <rPr>
        <sz val="11"/>
        <color theme="1"/>
        <rFont val="Calibri"/>
        <family val="2"/>
        <scheme val="minor"/>
      </rPr>
      <t xml:space="preserve">
30 NIMES</t>
    </r>
  </si>
  <si>
    <t>Démolition/ gros œuvre</t>
  </si>
  <si>
    <t>MONTANT TO1
TTC</t>
  </si>
  <si>
    <t>MONTANT TO1
HT</t>
  </si>
  <si>
    <t>MONTANT TF 
TTC</t>
  </si>
  <si>
    <t>MONTANT TF 
HT</t>
  </si>
  <si>
    <t>SOUS-TRAITANT 1</t>
  </si>
  <si>
    <t>TITULAIRE</t>
  </si>
  <si>
    <t>INTITULE LOT</t>
  </si>
  <si>
    <t>LOT</t>
  </si>
  <si>
    <t>11 semaines</t>
  </si>
  <si>
    <t>5 semaines</t>
  </si>
  <si>
    <t>15 semaines</t>
  </si>
  <si>
    <t>12 semaines</t>
  </si>
  <si>
    <t>4 semaines</t>
  </si>
  <si>
    <t>16 semaines</t>
  </si>
  <si>
    <t>FIN TVX
TO2</t>
  </si>
  <si>
    <t>FIN TVX
TO1</t>
  </si>
  <si>
    <t>FIN TVX
TF</t>
  </si>
  <si>
    <t>FIN PREPA</t>
  </si>
  <si>
    <t>DATE NOTIF</t>
  </si>
  <si>
    <t>PREPARATION</t>
  </si>
  <si>
    <t>DUREE MARCHE</t>
  </si>
  <si>
    <t>RENOVATION DES POSTES DE SECOURS</t>
  </si>
  <si>
    <t>2024-01</t>
  </si>
  <si>
    <t>MONTANT FACTURE YC  mandatairerévision
TTC</t>
  </si>
  <si>
    <t>Bureau de contrôle</t>
  </si>
  <si>
    <t>APAVE</t>
  </si>
  <si>
    <t>F040240019823</t>
  </si>
  <si>
    <t>ALPES Contrôle</t>
  </si>
  <si>
    <t>F040240003692</t>
  </si>
  <si>
    <t>DEKRA INDUSTRIAL</t>
  </si>
  <si>
    <t>AMIANTE</t>
  </si>
  <si>
    <t>23AA03521</t>
  </si>
  <si>
    <t>2023A2145553</t>
  </si>
  <si>
    <t>23AA03789</t>
  </si>
  <si>
    <t>montant total ht</t>
  </si>
  <si>
    <t>Montant ODA HT</t>
  </si>
  <si>
    <t>MISSION MOE</t>
  </si>
  <si>
    <t>Montant DUPLAN HT</t>
  </si>
  <si>
    <t>DIA</t>
  </si>
  <si>
    <t>AVP</t>
  </si>
  <si>
    <t>PRO</t>
  </si>
  <si>
    <t>DPC</t>
  </si>
  <si>
    <t>DCE</t>
  </si>
  <si>
    <t>ACT</t>
  </si>
  <si>
    <t>DET</t>
  </si>
  <si>
    <t>AOR</t>
  </si>
  <si>
    <t>DAO</t>
  </si>
  <si>
    <t>TOTAL HT</t>
  </si>
  <si>
    <t>TOTAL TTC</t>
  </si>
  <si>
    <t>Part BET DUPLAN
5 661,00 HT 
6 793,20 TTC</t>
  </si>
  <si>
    <t>Part ODA
9638,00 HT 
11 565,60 TTC</t>
  </si>
  <si>
    <t>PDS.2302-01</t>
  </si>
  <si>
    <t>PDS.2303-02</t>
  </si>
  <si>
    <t>PDS.2305-03</t>
  </si>
  <si>
    <t>PDS.2311-05</t>
  </si>
  <si>
    <t>PDS.2402-06</t>
  </si>
  <si>
    <t>2022-20
Gpt conjoint solidaire
ODA-BET DUPLAN</t>
  </si>
  <si>
    <t xml:space="preserve">2024-01_LOT1
CHAZELLE
</t>
  </si>
  <si>
    <t>DESAMIANTAGE /DEMOLITION / GROS ŒUVRE</t>
  </si>
  <si>
    <t>OSSATURE BOIS</t>
  </si>
  <si>
    <t>MENUISERIES EXTERIEURES / SERRURERIE</t>
  </si>
  <si>
    <t>CLOISONS / DOUBLAGES / FX PLF / MEN INT / PEINTURES / NETTOYAGE</t>
  </si>
  <si>
    <t xml:space="preserve">2024-01_LOT2
TBM
</t>
  </si>
  <si>
    <t xml:space="preserve">2024-01_LOT3
SMO
</t>
  </si>
  <si>
    <t xml:space="preserve">2024-01_LOT4
MATEU &amp; FILS
</t>
  </si>
  <si>
    <t xml:space="preserve">2024-01_LOT6
EIRL INNOVEL
</t>
  </si>
  <si>
    <t>ELECTRICITE CFO / CFA</t>
  </si>
  <si>
    <t>PLOMBERIE</t>
  </si>
  <si>
    <t xml:space="preserve">2024-01_LOT7
ETS DUMAS
</t>
  </si>
  <si>
    <t>COUVERTURE / ETANCHEITE</t>
  </si>
  <si>
    <t>ENDUITS DE FACADE</t>
  </si>
  <si>
    <t xml:space="preserve">2024-01_LOT8
ACEI
</t>
  </si>
  <si>
    <t xml:space="preserve">2024-01_LOT9
LANGUEDOC COLORS
</t>
  </si>
  <si>
    <t xml:space="preserve">TF
42 654,35 TTC </t>
  </si>
  <si>
    <t xml:space="preserve">TF
15 827,22 TTC </t>
  </si>
  <si>
    <t xml:space="preserve">TF
7 148,15 TTC </t>
  </si>
  <si>
    <t xml:space="preserve">TF
8 664,00 TTC </t>
  </si>
  <si>
    <t xml:space="preserve">TF
12 214,20 TTC </t>
  </si>
  <si>
    <t>CHAZELLE</t>
  </si>
  <si>
    <t>SST -- MJK
16 800 MAX AUTOLIQ</t>
  </si>
  <si>
    <t>F040240049689</t>
  </si>
  <si>
    <t>PDS.2403-07</t>
  </si>
  <si>
    <t>24AA00426</t>
  </si>
  <si>
    <t>SITU 1
N°240042</t>
  </si>
  <si>
    <t>SITU1
N°55</t>
  </si>
  <si>
    <t>SITU2
N°59</t>
  </si>
  <si>
    <t>SITU1
2024-02-69</t>
  </si>
  <si>
    <t>SITU2
2024-03-60</t>
  </si>
  <si>
    <t>SITU3
2024-04-73</t>
  </si>
  <si>
    <t>PDS.2405-09</t>
  </si>
  <si>
    <t>° F202400022 / Situation #1</t>
  </si>
  <si>
    <t>F2402615</t>
  </si>
  <si>
    <t>F2402817</t>
  </si>
  <si>
    <t>FAC4 - 243000U2</t>
  </si>
  <si>
    <t>FAC1 - 2430003G</t>
  </si>
  <si>
    <t>FAC2 - 243000A1</t>
  </si>
  <si>
    <t>FAC3 - 243000E8</t>
  </si>
  <si>
    <t>FAC5 - 243000zu</t>
  </si>
  <si>
    <r>
      <t xml:space="preserve">23AA03679
ATTENTION : 
</t>
    </r>
    <r>
      <rPr>
        <sz val="11"/>
        <color rgb="FFFF0000"/>
        <rFont val="Arial"/>
        <family val="2"/>
      </rPr>
      <t>CONCEPTION= 2430TTC</t>
    </r>
    <r>
      <rPr>
        <sz val="11"/>
        <color theme="1"/>
        <rFont val="Arial"/>
        <family val="2"/>
      </rPr>
      <t xml:space="preserve">
</t>
    </r>
    <r>
      <rPr>
        <sz val="11"/>
        <color rgb="FFFF0000"/>
        <rFont val="Arial"/>
        <family val="2"/>
      </rPr>
      <t>TF = 2430TTC = couchant</t>
    </r>
    <r>
      <rPr>
        <sz val="11"/>
        <color theme="1"/>
        <rFont val="Arial"/>
        <family val="2"/>
      </rPr>
      <t xml:space="preserve">
TO1 = 2430TTC= Pt ZERO
TO2 =  2430TTC =  GT
Mission VIEL=300TTC</t>
    </r>
  </si>
  <si>
    <r>
      <t xml:space="preserve">23AA03681
</t>
    </r>
    <r>
      <rPr>
        <u/>
        <sz val="11"/>
        <color theme="1"/>
        <rFont val="Arial"/>
        <family val="2"/>
      </rPr>
      <t xml:space="preserve">ATTENTION </t>
    </r>
    <r>
      <rPr>
        <sz val="11"/>
        <color theme="1"/>
        <rFont val="Arial"/>
        <family val="2"/>
      </rPr>
      <t>: 
TF =2640TTC soit 5 x 430HT = couchant
TO1 = 2640TTC = Pt ZERO
TO2 = 2640TTC =  GT</t>
    </r>
  </si>
  <si>
    <t>Marché 2022-20</t>
  </si>
  <si>
    <t>FAC1 -DC24AA00
42624030</t>
  </si>
  <si>
    <t>Part ODA 
15 040,58 HT
18 048,70TTC</t>
  </si>
  <si>
    <t>Part BET 
6 179,93 HT
7 415,92TTC</t>
  </si>
  <si>
    <t>FAC2 -
DC24AA00
42624040</t>
  </si>
  <si>
    <t>FACT1-
07-1068-2024</t>
  </si>
  <si>
    <t>BDC 24AA0426
BET DUPLAN</t>
  </si>
  <si>
    <t>BDC 24AA0426
ODA</t>
  </si>
  <si>
    <t>24AA01174</t>
  </si>
  <si>
    <t>FAC3-BDC240503</t>
  </si>
  <si>
    <t>FAC4 et 5
BDC240604</t>
  </si>
  <si>
    <t>FAC6
BDCPDS240706</t>
  </si>
  <si>
    <t>FACT2-
10-1068-2024</t>
  </si>
  <si>
    <t>FACT4-
12-1068-2024</t>
  </si>
  <si>
    <t>FACT3-
11-1068-2024</t>
  </si>
  <si>
    <t>PDS.2406-10</t>
  </si>
  <si>
    <t>PDS.2407-11</t>
  </si>
  <si>
    <t xml:space="preserve"> SITU1-F/24040046</t>
  </si>
  <si>
    <t>SITU 2-F/24050065</t>
  </si>
  <si>
    <t>SITU 3-F/24080122</t>
  </si>
  <si>
    <t>SITU4
2024-06-63</t>
  </si>
  <si>
    <t>F-2024-387</t>
  </si>
  <si>
    <t>TF
11 557,73 TTC + AV1 0 1134Ettc</t>
  </si>
  <si>
    <t xml:space="preserve">TF
25804,80TTC </t>
  </si>
  <si>
    <t>FAC6-2430017H</t>
  </si>
  <si>
    <t>FAC7 PDSBDC240906</t>
  </si>
  <si>
    <t xml:space="preserve">PDS.2409-12 </t>
  </si>
  <si>
    <t>FACT5-
14-1068-2024</t>
  </si>
  <si>
    <t>FACT6-
13-1068-2025</t>
  </si>
  <si>
    <t>SITU3 N 97</t>
  </si>
  <si>
    <t>SITU2 N°240085</t>
  </si>
  <si>
    <t>F2403966</t>
  </si>
  <si>
    <t xml:space="preserve">TF  19 148,40 TTC </t>
  </si>
  <si>
    <t>TO1 20262 TTC</t>
  </si>
  <si>
    <t>F202400031</t>
  </si>
  <si>
    <t>FAC 7-243001CC</t>
  </si>
  <si>
    <t>SITU5
2024-09-79</t>
  </si>
  <si>
    <t>TO2 31719,26</t>
  </si>
  <si>
    <t>To1 MJK 4200€</t>
  </si>
  <si>
    <t>TO2 MJK 3482€</t>
  </si>
  <si>
    <t>TO1 PAMI 2508,03€</t>
  </si>
  <si>
    <t>SITU5 
2024-09-79</t>
  </si>
  <si>
    <t>SITU4 N100</t>
  </si>
  <si>
    <t>TO 15827,22</t>
  </si>
  <si>
    <t>SITU6</t>
  </si>
  <si>
    <t>FACT7-15 - 1068 - 2024</t>
  </si>
  <si>
    <t>16 - 1068 - 2024</t>
  </si>
  <si>
    <t>FAC8 PDSBDC241007</t>
  </si>
  <si>
    <t>PDS241013</t>
  </si>
  <si>
    <t>F040240164881</t>
  </si>
  <si>
    <t xml:space="preserve">T01
9731,25€ TTC </t>
  </si>
  <si>
    <t xml:space="preserve">PDS241114 </t>
  </si>
  <si>
    <t>FAC 9_PDSBDC241108</t>
  </si>
  <si>
    <t>SITU3_ 240106</t>
  </si>
  <si>
    <t>SITU5 N 103</t>
  </si>
  <si>
    <t>18 - 1068 - 2024</t>
  </si>
  <si>
    <t>F-2024-506</t>
  </si>
  <si>
    <t xml:space="preserve">TO2 </t>
  </si>
  <si>
    <t>° F-2024-506</t>
  </si>
  <si>
    <t>° 20 - 1068 - 2024</t>
  </si>
  <si>
    <t>FAC10 PDSBDC241209</t>
  </si>
  <si>
    <t>PDS241215</t>
  </si>
  <si>
    <t>SITU7</t>
  </si>
  <si>
    <t>F202400080</t>
  </si>
  <si>
    <t>TO1 SOCAMO 1000€</t>
  </si>
  <si>
    <t xml:space="preserve">T01
41070,50 TTC </t>
  </si>
  <si>
    <t>SITU 8</t>
  </si>
  <si>
    <t>SITU8</t>
  </si>
  <si>
    <t>TO1 12450,86 TTC + AV2 1134 ttc</t>
  </si>
  <si>
    <t>SITU4- F/24120192</t>
  </si>
  <si>
    <t xml:space="preserve">SITU4- F/24120192 </t>
  </si>
  <si>
    <t xml:space="preserve">F040250002052 </t>
  </si>
  <si>
    <t>FAC8-25A4800S</t>
  </si>
  <si>
    <t>21-1068-2025</t>
  </si>
  <si>
    <t>PDS250116</t>
  </si>
  <si>
    <t>PDSBDC250110</t>
  </si>
  <si>
    <t>SITU4_ 240106</t>
  </si>
  <si>
    <t>22 - 1068 - 2025</t>
  </si>
  <si>
    <t>TO1 10710,39</t>
  </si>
  <si>
    <t>F040250016221</t>
  </si>
  <si>
    <t>TO2 3827,52</t>
  </si>
  <si>
    <t>TO1 
21 621,00 €HT</t>
  </si>
  <si>
    <t>SITU5-- F/25020020</t>
  </si>
  <si>
    <t>TO2 8072,40 TTC</t>
  </si>
  <si>
    <t>° F202500092</t>
  </si>
  <si>
    <t>F202500091</t>
  </si>
  <si>
    <t>° F-2025-572</t>
  </si>
  <si>
    <t>FAC9 25A4803V</t>
  </si>
  <si>
    <t>FAC10 25A4806L</t>
  </si>
  <si>
    <t>F040250032289</t>
  </si>
  <si>
    <t>F040250032292</t>
  </si>
  <si>
    <t>PDS250317</t>
  </si>
  <si>
    <t>revision 473,96 ttc</t>
  </si>
  <si>
    <t>F-2025-571</t>
  </si>
  <si>
    <t>SITU5_ 240106</t>
  </si>
  <si>
    <t>Lot n°05
 N°2024-01-5 SOCAMO</t>
  </si>
  <si>
    <t>TO1 4569€ +</t>
  </si>
  <si>
    <t xml:space="preserve">TF
4 569,00 TTC + AV 1500€ TTC+ 219,31€ revision </t>
  </si>
  <si>
    <t>TO2 11508,76+240</t>
  </si>
  <si>
    <t>F2502387</t>
  </si>
  <si>
    <t>007-2025</t>
  </si>
  <si>
    <t>008-2025</t>
  </si>
  <si>
    <t>TO2 8898€ + AV01 903,08</t>
  </si>
  <si>
    <t>DGD TO1</t>
  </si>
  <si>
    <t>DGD TO2</t>
  </si>
  <si>
    <t>situ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</si>
</sst>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_-* #,##0.00\ [$€-40C]_-;\-* #,##0.00\ [$€-40C]_-;_-* &quot;-&quot;??\ [$€-40C]_-;_-@_-"/>
    <numFmt numFmtId="166" formatCode="#,##0.00\ &quot;€&quot;"/>
    <numFmt numFmtId="167" formatCode="#,##0.00_ ;\-#,##0.00\ "/>
  </numFmts>
  <fonts count="36" x14ac:knownFonts="1">
    <font>
      <sz val="11"/>
      <color theme="1"/>
      <name val="Calibri"/>
      <family val="2"/>
      <scheme val="minor"/>
    </font>
    <font>
      <b/>
      <sz val="16"/>
      <color theme="1"/>
      <name val="Bookman Old Style"/>
      <family val="1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9"/>
      <color rgb="FFFF0000"/>
      <name val="Arial"/>
      <family val="2"/>
    </font>
    <font>
      <sz val="9"/>
      <name val="Arial"/>
      <family val="2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1"/>
      <color theme="1"/>
      <name val="Arial"/>
      <family val="2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2"/>
      <name val="Arial"/>
      <family val="2"/>
    </font>
    <font>
      <sz val="11"/>
      <color rgb="FFFF8B8B"/>
      <name val="Calibri"/>
      <family val="2"/>
      <scheme val="minor"/>
    </font>
    <font>
      <b/>
      <sz val="11"/>
      <color rgb="FFFF8B8B"/>
      <name val="Calibri"/>
      <family val="2"/>
      <scheme val="minor"/>
    </font>
    <font>
      <sz val="10"/>
      <color rgb="FFFF8B8B"/>
      <name val="Arial"/>
      <family val="2"/>
    </font>
    <font>
      <sz val="11"/>
      <color rgb="FFFF8B8B"/>
      <name val="Arial"/>
      <family val="2"/>
    </font>
    <font>
      <sz val="11"/>
      <color rgb="FFFF0000"/>
      <name val="Arial"/>
      <family val="2"/>
    </font>
  </fonts>
  <fills count="28">
    <fill>
      <patternFill patternType="none"/>
    </fill>
    <fill>
      <patternFill patternType="gray125"/>
    </fill>
    <fill>
      <gradientFill degree="135">
        <stop position="0">
          <color rgb="FFFFFF99"/>
        </stop>
        <stop position="0.5">
          <color theme="6" tint="0.40000610370189521"/>
        </stop>
        <stop position="1">
          <color rgb="FFFFFF99"/>
        </stop>
      </gradientFill>
    </fill>
    <fill>
      <patternFill patternType="solid">
        <fgColor rgb="FF92D050"/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F9D5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568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43" fontId="3" fillId="0" borderId="1" xfId="1" applyFont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center" vertical="center" wrapText="1"/>
    </xf>
    <xf numFmtId="43" fontId="5" fillId="0" borderId="1" xfId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3" fontId="3" fillId="4" borderId="1" xfId="1" applyFont="1" applyFill="1" applyBorder="1" applyAlignment="1">
      <alignment horizontal="center" vertical="center" wrapText="1"/>
    </xf>
    <xf numFmtId="43" fontId="3" fillId="4" borderId="1" xfId="1" applyFont="1" applyFill="1" applyBorder="1" applyAlignment="1">
      <alignment vertical="center" wrapText="1"/>
    </xf>
    <xf numFmtId="43" fontId="0" fillId="0" borderId="1" xfId="1" applyFont="1" applyBorder="1" applyAlignment="1">
      <alignment vertical="center"/>
    </xf>
    <xf numFmtId="43" fontId="0" fillId="0" borderId="1" xfId="1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43" fontId="0" fillId="4" borderId="1" xfId="1" applyFont="1" applyFill="1" applyBorder="1" applyAlignment="1">
      <alignment vertical="center"/>
    </xf>
    <xf numFmtId="43" fontId="4" fillId="4" borderId="1" xfId="1" applyFont="1" applyFill="1" applyBorder="1" applyAlignment="1">
      <alignment vertical="center"/>
    </xf>
    <xf numFmtId="14" fontId="9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3" fontId="4" fillId="4" borderId="1" xfId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textRotation="255" wrapText="1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43" fontId="5" fillId="4" borderId="1" xfId="1" applyFont="1" applyFill="1" applyBorder="1" applyAlignment="1">
      <alignment horizontal="center" vertical="center" wrapText="1"/>
    </xf>
    <xf numFmtId="43" fontId="0" fillId="4" borderId="1" xfId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43" fontId="4" fillId="0" borderId="1" xfId="1" applyFont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9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43" fontId="0" fillId="0" borderId="0" xfId="1" applyFont="1"/>
    <xf numFmtId="43" fontId="12" fillId="0" borderId="5" xfId="1" applyFont="1" applyBorder="1"/>
    <xf numFmtId="0" fontId="2" fillId="6" borderId="1" xfId="0" applyFont="1" applyFill="1" applyBorder="1" applyAlignment="1">
      <alignment horizontal="center" vertical="center" wrapText="1"/>
    </xf>
    <xf numFmtId="43" fontId="4" fillId="4" borderId="2" xfId="1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3" fontId="15" fillId="8" borderId="1" xfId="1" applyFont="1" applyFill="1" applyBorder="1" applyAlignment="1">
      <alignment horizontal="center" vertical="center" wrapText="1"/>
    </xf>
    <xf numFmtId="43" fontId="14" fillId="0" borderId="1" xfId="1" applyFont="1" applyFill="1" applyBorder="1" applyAlignment="1">
      <alignment horizontal="center" vertical="center" wrapText="1"/>
    </xf>
    <xf numFmtId="43" fontId="15" fillId="0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3" fontId="7" fillId="0" borderId="1" xfId="1" applyFont="1" applyBorder="1" applyAlignment="1">
      <alignment vertical="center"/>
    </xf>
    <xf numFmtId="43" fontId="7" fillId="0" borderId="1" xfId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43" fontId="0" fillId="9" borderId="1" xfId="1" applyFont="1" applyFill="1" applyBorder="1" applyAlignment="1">
      <alignment vertical="center"/>
    </xf>
    <xf numFmtId="0" fontId="0" fillId="0" borderId="1" xfId="0" applyBorder="1" applyAlignment="1">
      <alignment horizontal="right"/>
    </xf>
    <xf numFmtId="43" fontId="0" fillId="0" borderId="1" xfId="1" applyFont="1" applyBorder="1"/>
    <xf numFmtId="0" fontId="8" fillId="0" borderId="8" xfId="0" applyFont="1" applyBorder="1" applyAlignment="1">
      <alignment horizontal="center" vertical="center" textRotation="255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8" fillId="10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14" fontId="9" fillId="16" borderId="1" xfId="0" applyNumberFormat="1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43" fontId="3" fillId="16" borderId="1" xfId="1" applyFont="1" applyFill="1" applyBorder="1" applyAlignment="1">
      <alignment horizontal="center" vertical="center" wrapText="1"/>
    </xf>
    <xf numFmtId="43" fontId="0" fillId="16" borderId="1" xfId="1" applyFont="1" applyFill="1" applyBorder="1" applyAlignment="1">
      <alignment vertical="center"/>
    </xf>
    <xf numFmtId="43" fontId="3" fillId="16" borderId="1" xfId="1" applyFont="1" applyFill="1" applyBorder="1" applyAlignment="1">
      <alignment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43" fontId="0" fillId="16" borderId="1" xfId="1" applyFont="1" applyFill="1" applyBorder="1" applyAlignment="1">
      <alignment horizontal="center" vertical="center"/>
    </xf>
    <xf numFmtId="43" fontId="0" fillId="17" borderId="1" xfId="1" applyFont="1" applyFill="1" applyBorder="1" applyAlignment="1">
      <alignment horizontal="center" vertical="center"/>
    </xf>
    <xf numFmtId="43" fontId="3" fillId="16" borderId="2" xfId="1" applyFont="1" applyFill="1" applyBorder="1" applyAlignment="1">
      <alignment vertical="center" wrapText="1"/>
    </xf>
    <xf numFmtId="43" fontId="3" fillId="16" borderId="4" xfId="1" applyFont="1" applyFill="1" applyBorder="1" applyAlignment="1">
      <alignment vertical="center" wrapText="1"/>
    </xf>
    <xf numFmtId="43" fontId="3" fillId="16" borderId="3" xfId="1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3" fillId="0" borderId="1" xfId="0" applyFont="1" applyBorder="1" applyAlignment="1">
      <alignment vertical="center" wrapText="1"/>
    </xf>
    <xf numFmtId="43" fontId="15" fillId="0" borderId="1" xfId="1" applyFont="1" applyFill="1" applyBorder="1" applyAlignment="1">
      <alignment vertical="center" wrapText="1"/>
    </xf>
    <xf numFmtId="43" fontId="15" fillId="4" borderId="1" xfId="1" applyFont="1" applyFill="1" applyBorder="1" applyAlignment="1">
      <alignment vertical="center" wrapText="1"/>
    </xf>
    <xf numFmtId="0" fontId="10" fillId="0" borderId="1" xfId="0" applyFont="1" applyBorder="1" applyAlignment="1">
      <alignment vertical="center" textRotation="135"/>
    </xf>
    <xf numFmtId="0" fontId="9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43" fontId="18" fillId="14" borderId="1" xfId="1" applyFont="1" applyFill="1" applyBorder="1" applyAlignment="1">
      <alignment vertical="center"/>
    </xf>
    <xf numFmtId="164" fontId="0" fillId="0" borderId="1" xfId="0" applyNumberFormat="1" applyBorder="1"/>
    <xf numFmtId="0" fontId="4" fillId="7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12" fillId="0" borderId="1" xfId="1" applyFont="1" applyBorder="1"/>
    <xf numFmtId="9" fontId="0" fillId="0" borderId="1" xfId="2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1" fillId="0" borderId="1" xfId="0" applyFont="1" applyBorder="1"/>
    <xf numFmtId="43" fontId="0" fillId="0" borderId="0" xfId="0" applyNumberFormat="1"/>
    <xf numFmtId="0" fontId="4" fillId="0" borderId="1" xfId="0" applyFont="1" applyBorder="1"/>
    <xf numFmtId="0" fontId="19" fillId="0" borderId="1" xfId="0" applyFont="1" applyBorder="1"/>
    <xf numFmtId="0" fontId="17" fillId="0" borderId="1" xfId="0" applyFont="1" applyBorder="1"/>
    <xf numFmtId="0" fontId="20" fillId="0" borderId="1" xfId="0" applyFont="1" applyBorder="1"/>
    <xf numFmtId="43" fontId="21" fillId="4" borderId="1" xfId="1" applyFont="1" applyFill="1" applyBorder="1" applyAlignment="1">
      <alignment vertical="center" wrapText="1"/>
    </xf>
    <xf numFmtId="0" fontId="19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16" borderId="1" xfId="0" applyFont="1" applyFill="1" applyBorder="1" applyAlignment="1">
      <alignment vertical="center" wrapText="1"/>
    </xf>
    <xf numFmtId="14" fontId="9" fillId="16" borderId="1" xfId="0" applyNumberFormat="1" applyFont="1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43" fontId="3" fillId="5" borderId="1" xfId="1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 textRotation="135"/>
    </xf>
    <xf numFmtId="0" fontId="19" fillId="16" borderId="1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vertical="center" textRotation="255"/>
    </xf>
    <xf numFmtId="43" fontId="6" fillId="0" borderId="1" xfId="1" applyFont="1" applyBorder="1" applyAlignment="1">
      <alignment vertical="center"/>
    </xf>
    <xf numFmtId="43" fontId="6" fillId="16" borderId="1" xfId="1" applyFont="1" applyFill="1" applyBorder="1" applyAlignment="1">
      <alignment vertical="center"/>
    </xf>
    <xf numFmtId="43" fontId="6" fillId="0" borderId="1" xfId="1" applyFont="1" applyBorder="1" applyAlignment="1">
      <alignment horizontal="center" vertical="center"/>
    </xf>
    <xf numFmtId="43" fontId="6" fillId="4" borderId="1" xfId="1" applyFont="1" applyFill="1" applyBorder="1" applyAlignment="1">
      <alignment vertical="center"/>
    </xf>
    <xf numFmtId="43" fontId="22" fillId="0" borderId="1" xfId="1" applyFont="1" applyFill="1" applyBorder="1" applyAlignment="1">
      <alignment horizontal="center" vertical="center" wrapText="1"/>
    </xf>
    <xf numFmtId="43" fontId="22" fillId="4" borderId="1" xfId="1" applyFont="1" applyFill="1" applyBorder="1" applyAlignment="1">
      <alignment horizontal="center" vertical="center" wrapText="1"/>
    </xf>
    <xf numFmtId="43" fontId="22" fillId="16" borderId="1" xfId="1" applyFont="1" applyFill="1" applyBorder="1" applyAlignment="1">
      <alignment horizontal="center" vertical="center" wrapText="1"/>
    </xf>
    <xf numFmtId="43" fontId="6" fillId="16" borderId="1" xfId="1" applyFont="1" applyFill="1" applyBorder="1" applyAlignment="1">
      <alignment horizontal="center" vertical="center"/>
    </xf>
    <xf numFmtId="43" fontId="6" fillId="17" borderId="1" xfId="1" applyFont="1" applyFill="1" applyBorder="1" applyAlignment="1">
      <alignment horizontal="center" vertical="center"/>
    </xf>
    <xf numFmtId="43" fontId="23" fillId="0" borderId="1" xfId="1" applyFont="1" applyFill="1" applyBorder="1" applyAlignment="1">
      <alignment horizontal="center" vertical="center" wrapText="1"/>
    </xf>
    <xf numFmtId="43" fontId="22" fillId="0" borderId="1" xfId="1" applyFont="1" applyBorder="1" applyAlignment="1">
      <alignment horizontal="center" vertical="center" wrapText="1"/>
    </xf>
    <xf numFmtId="43" fontId="23" fillId="0" borderId="1" xfId="1" applyFont="1" applyFill="1" applyBorder="1" applyAlignment="1">
      <alignment vertical="center" wrapText="1"/>
    </xf>
    <xf numFmtId="43" fontId="23" fillId="4" borderId="1" xfId="1" applyFont="1" applyFill="1" applyBorder="1" applyAlignment="1">
      <alignment vertical="center" wrapText="1"/>
    </xf>
    <xf numFmtId="164" fontId="6" fillId="0" borderId="1" xfId="0" applyNumberFormat="1" applyFont="1" applyBorder="1"/>
    <xf numFmtId="0" fontId="8" fillId="4" borderId="11" xfId="0" applyFont="1" applyFill="1" applyBorder="1" applyAlignment="1">
      <alignment horizontal="center" vertical="center" textRotation="255" wrapText="1"/>
    </xf>
    <xf numFmtId="43" fontId="0" fillId="0" borderId="1" xfId="0" applyNumberFormat="1" applyBorder="1"/>
    <xf numFmtId="0" fontId="0" fillId="18" borderId="1" xfId="0" applyFill="1" applyBorder="1"/>
    <xf numFmtId="43" fontId="3" fillId="18" borderId="1" xfId="1" applyFont="1" applyFill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43" fontId="6" fillId="20" borderId="1" xfId="1" applyFont="1" applyFill="1" applyBorder="1" applyAlignment="1">
      <alignment vertical="center"/>
    </xf>
    <xf numFmtId="43" fontId="6" fillId="20" borderId="2" xfId="1" applyFont="1" applyFill="1" applyBorder="1" applyAlignment="1">
      <alignment vertical="center"/>
    </xf>
    <xf numFmtId="0" fontId="10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textRotation="255"/>
    </xf>
    <xf numFmtId="0" fontId="0" fillId="0" borderId="11" xfId="0" applyBorder="1"/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43" fontId="0" fillId="0" borderId="8" xfId="1" applyFont="1" applyBorder="1" applyAlignment="1">
      <alignment vertical="center"/>
    </xf>
    <xf numFmtId="164" fontId="0" fillId="18" borderId="1" xfId="0" applyNumberFormat="1" applyFill="1" applyBorder="1"/>
    <xf numFmtId="43" fontId="4" fillId="20" borderId="1" xfId="1" applyFont="1" applyFill="1" applyBorder="1" applyAlignment="1">
      <alignment vertical="center"/>
    </xf>
    <xf numFmtId="0" fontId="0" fillId="19" borderId="0" xfId="0" applyFill="1" applyAlignment="1">
      <alignment horizontal="center" vertical="center"/>
    </xf>
    <xf numFmtId="164" fontId="17" fillId="19" borderId="13" xfId="0" applyNumberFormat="1" applyFont="1" applyFill="1" applyBorder="1" applyAlignment="1">
      <alignment vertical="center"/>
    </xf>
    <xf numFmtId="0" fontId="0" fillId="19" borderId="1" xfId="0" applyFill="1" applyBorder="1" applyAlignment="1">
      <alignment vertical="center"/>
    </xf>
    <xf numFmtId="0" fontId="0" fillId="19" borderId="1" xfId="0" applyFill="1" applyBorder="1" applyAlignment="1">
      <alignment horizontal="right" vertical="center"/>
    </xf>
    <xf numFmtId="164" fontId="4" fillId="19" borderId="1" xfId="0" applyNumberFormat="1" applyFont="1" applyFill="1" applyBorder="1" applyAlignment="1">
      <alignment vertical="center"/>
    </xf>
    <xf numFmtId="164" fontId="0" fillId="19" borderId="0" xfId="0" applyNumberFormat="1" applyFill="1"/>
    <xf numFmtId="0" fontId="4" fillId="0" borderId="0" xfId="0" applyFont="1" applyAlignment="1">
      <alignment horizontal="center"/>
    </xf>
    <xf numFmtId="0" fontId="0" fillId="0" borderId="0" xfId="0" applyAlignment="1">
      <alignment wrapText="1"/>
    </xf>
    <xf numFmtId="165" fontId="0" fillId="5" borderId="0" xfId="0" applyNumberFormat="1" applyFill="1"/>
    <xf numFmtId="165" fontId="0" fillId="6" borderId="0" xfId="0" applyNumberFormat="1" applyFill="1"/>
    <xf numFmtId="0" fontId="0" fillId="6" borderId="0" xfId="0" applyFill="1"/>
    <xf numFmtId="165" fontId="0" fillId="21" borderId="0" xfId="0" applyNumberFormat="1" applyFill="1"/>
    <xf numFmtId="165" fontId="0" fillId="22" borderId="0" xfId="0" applyNumberFormat="1" applyFill="1"/>
    <xf numFmtId="165" fontId="0" fillId="23" borderId="0" xfId="0" applyNumberFormat="1" applyFill="1"/>
    <xf numFmtId="165" fontId="0" fillId="7" borderId="0" xfId="0" applyNumberFormat="1" applyFill="1"/>
    <xf numFmtId="165" fontId="0" fillId="24" borderId="0" xfId="0" applyNumberFormat="1" applyFill="1"/>
    <xf numFmtId="165" fontId="0" fillId="25" borderId="0" xfId="0" applyNumberFormat="1" applyFill="1"/>
    <xf numFmtId="0" fontId="4" fillId="21" borderId="7" xfId="0" applyFont="1" applyFill="1" applyBorder="1" applyAlignment="1">
      <alignment vertical="center" wrapText="1"/>
    </xf>
    <xf numFmtId="0" fontId="4" fillId="22" borderId="19" xfId="0" applyFont="1" applyFill="1" applyBorder="1" applyAlignment="1">
      <alignment vertical="center" wrapText="1"/>
    </xf>
    <xf numFmtId="0" fontId="4" fillId="23" borderId="7" xfId="0" applyFont="1" applyFill="1" applyBorder="1" applyAlignment="1">
      <alignment vertical="center" wrapText="1"/>
    </xf>
    <xf numFmtId="0" fontId="4" fillId="7" borderId="19" xfId="0" applyFont="1" applyFill="1" applyBorder="1" applyAlignment="1">
      <alignment vertical="center" wrapText="1"/>
    </xf>
    <xf numFmtId="0" fontId="4" fillId="24" borderId="19" xfId="0" applyFont="1" applyFill="1" applyBorder="1" applyAlignment="1">
      <alignment vertical="center" wrapText="1"/>
    </xf>
    <xf numFmtId="0" fontId="4" fillId="25" borderId="19" xfId="0" applyFont="1" applyFill="1" applyBorder="1" applyAlignment="1">
      <alignment vertical="center" wrapText="1"/>
    </xf>
    <xf numFmtId="0" fontId="4" fillId="0" borderId="19" xfId="0" applyFont="1" applyBorder="1" applyAlignment="1">
      <alignment vertical="center"/>
    </xf>
    <xf numFmtId="0" fontId="4" fillId="0" borderId="19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0" fillId="26" borderId="0" xfId="0" applyFill="1"/>
    <xf numFmtId="14" fontId="0" fillId="0" borderId="0" xfId="0" applyNumberFormat="1"/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2" fillId="0" borderId="1" xfId="0" applyFont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14" fontId="22" fillId="4" borderId="1" xfId="0" applyNumberFormat="1" applyFont="1" applyFill="1" applyBorder="1" applyAlignment="1">
      <alignment horizontal="center" vertical="center" wrapText="1"/>
    </xf>
    <xf numFmtId="0" fontId="22" fillId="16" borderId="1" xfId="0" applyFont="1" applyFill="1" applyBorder="1" applyAlignment="1">
      <alignment horizontal="center" vertical="center" wrapText="1"/>
    </xf>
    <xf numFmtId="43" fontId="22" fillId="16" borderId="2" xfId="1" applyFont="1" applyFill="1" applyBorder="1" applyAlignment="1">
      <alignment horizontal="center" vertical="center" wrapText="1"/>
    </xf>
    <xf numFmtId="43" fontId="22" fillId="0" borderId="2" xfId="1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43" fontId="6" fillId="20" borderId="1" xfId="1" applyFont="1" applyFill="1" applyBorder="1" applyAlignment="1">
      <alignment horizontal="right" vertical="center"/>
    </xf>
    <xf numFmtId="43" fontId="18" fillId="14" borderId="1" xfId="1" applyFont="1" applyFill="1" applyBorder="1" applyAlignment="1">
      <alignment horizontal="right" vertical="center"/>
    </xf>
    <xf numFmtId="164" fontId="0" fillId="19" borderId="1" xfId="0" applyNumberForma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22" fillId="0" borderId="3" xfId="0" applyFont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0" fillId="27" borderId="0" xfId="0" applyFill="1" applyAlignment="1">
      <alignment horizontal="center"/>
    </xf>
    <xf numFmtId="43" fontId="0" fillId="0" borderId="0" xfId="1" applyFont="1" applyAlignment="1">
      <alignment horizontal="center"/>
    </xf>
    <xf numFmtId="43" fontId="7" fillId="0" borderId="0" xfId="0" applyNumberFormat="1" applyFont="1" applyAlignment="1">
      <alignment horizontal="center"/>
    </xf>
    <xf numFmtId="43" fontId="28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164" fontId="29" fillId="0" borderId="0" xfId="0" applyNumberFormat="1" applyFont="1" applyAlignment="1">
      <alignment horizontal="center"/>
    </xf>
    <xf numFmtId="43" fontId="22" fillId="0" borderId="3" xfId="1" applyFont="1" applyBorder="1" applyAlignment="1">
      <alignment horizontal="center" vertical="center" wrapText="1"/>
    </xf>
    <xf numFmtId="43" fontId="6" fillId="20" borderId="3" xfId="1" applyFont="1" applyFill="1" applyBorder="1" applyAlignment="1">
      <alignment vertical="center"/>
    </xf>
    <xf numFmtId="43" fontId="4" fillId="20" borderId="3" xfId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 wrapText="1"/>
    </xf>
    <xf numFmtId="43" fontId="22" fillId="0" borderId="18" xfId="1" applyFont="1" applyBorder="1" applyAlignment="1">
      <alignment horizontal="center" vertical="center" wrapText="1"/>
    </xf>
    <xf numFmtId="43" fontId="6" fillId="20" borderId="18" xfId="1" applyFont="1" applyFill="1" applyBorder="1" applyAlignment="1">
      <alignment vertical="center"/>
    </xf>
    <xf numFmtId="43" fontId="4" fillId="20" borderId="18" xfId="1" applyFon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43" fontId="31" fillId="20" borderId="1" xfId="1" applyFont="1" applyFill="1" applyBorder="1" applyAlignment="1">
      <alignment vertical="center"/>
    </xf>
    <xf numFmtId="43" fontId="32" fillId="20" borderId="1" xfId="1" applyFont="1" applyFill="1" applyBorder="1" applyAlignment="1">
      <alignment vertical="center"/>
    </xf>
    <xf numFmtId="43" fontId="34" fillId="0" borderId="1" xfId="1" applyFont="1" applyBorder="1" applyAlignment="1">
      <alignment horizontal="center" vertical="center" wrapText="1"/>
    </xf>
    <xf numFmtId="43" fontId="4" fillId="20" borderId="2" xfId="1" applyFont="1" applyFill="1" applyBorder="1" applyAlignment="1">
      <alignment vertical="center"/>
    </xf>
    <xf numFmtId="0" fontId="22" fillId="0" borderId="21" xfId="0" applyFont="1" applyBorder="1" applyAlignment="1">
      <alignment horizontal="center" vertical="center" wrapText="1"/>
    </xf>
    <xf numFmtId="43" fontId="22" fillId="0" borderId="21" xfId="1" applyFont="1" applyBorder="1" applyAlignment="1">
      <alignment horizontal="center" vertical="center" wrapText="1"/>
    </xf>
    <xf numFmtId="43" fontId="6" fillId="20" borderId="21" xfId="1" applyFont="1" applyFill="1" applyBorder="1" applyAlignment="1">
      <alignment vertical="center"/>
    </xf>
    <xf numFmtId="43" fontId="4" fillId="20" borderId="21" xfId="1" applyFont="1" applyFill="1" applyBorder="1" applyAlignment="1">
      <alignment vertical="center"/>
    </xf>
    <xf numFmtId="0" fontId="7" fillId="0" borderId="1" xfId="0" applyFont="1" applyBorder="1"/>
    <xf numFmtId="43" fontId="35" fillId="16" borderId="1" xfId="1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14" fontId="22" fillId="4" borderId="3" xfId="0" applyNumberFormat="1" applyFont="1" applyFill="1" applyBorder="1" applyAlignment="1">
      <alignment horizontal="center" vertical="center" wrapText="1"/>
    </xf>
    <xf numFmtId="43" fontId="22" fillId="4" borderId="3" xfId="1" applyFont="1" applyFill="1" applyBorder="1" applyAlignment="1">
      <alignment horizontal="center" vertical="center" wrapText="1"/>
    </xf>
    <xf numFmtId="43" fontId="6" fillId="4" borderId="3" xfId="1" applyFont="1" applyFill="1" applyBorder="1" applyAlignment="1">
      <alignment vertical="center"/>
    </xf>
    <xf numFmtId="43" fontId="4" fillId="4" borderId="3" xfId="1" applyFont="1" applyFill="1" applyBorder="1" applyAlignment="1">
      <alignment vertical="center"/>
    </xf>
    <xf numFmtId="43" fontId="6" fillId="4" borderId="3" xfId="1" applyFont="1" applyFill="1" applyBorder="1" applyAlignment="1">
      <alignment horizontal="right" vertical="center"/>
    </xf>
    <xf numFmtId="0" fontId="22" fillId="0" borderId="20" xfId="0" applyFont="1" applyBorder="1" applyAlignment="1">
      <alignment horizontal="center" vertical="center" wrapText="1"/>
    </xf>
    <xf numFmtId="0" fontId="0" fillId="0" borderId="18" xfId="0" applyBorder="1"/>
    <xf numFmtId="43" fontId="22" fillId="0" borderId="2" xfId="1" applyFont="1" applyFill="1" applyBorder="1" applyAlignment="1">
      <alignment horizontal="center" vertical="center" wrapText="1"/>
    </xf>
    <xf numFmtId="43" fontId="6" fillId="20" borderId="9" xfId="1" applyFont="1" applyFill="1" applyBorder="1" applyAlignment="1">
      <alignment vertical="center"/>
    </xf>
    <xf numFmtId="43" fontId="6" fillId="20" borderId="35" xfId="1" applyFont="1" applyFill="1" applyBorder="1" applyAlignment="1">
      <alignment vertical="center"/>
    </xf>
    <xf numFmtId="43" fontId="6" fillId="20" borderId="10" xfId="1" applyFont="1" applyFill="1" applyBorder="1" applyAlignment="1">
      <alignment vertical="center"/>
    </xf>
    <xf numFmtId="0" fontId="8" fillId="19" borderId="2" xfId="0" applyFont="1" applyFill="1" applyBorder="1" applyAlignment="1">
      <alignment horizontal="right" vertical="center" wrapText="1"/>
    </xf>
    <xf numFmtId="14" fontId="22" fillId="0" borderId="4" xfId="0" applyNumberFormat="1" applyFont="1" applyBorder="1" applyAlignment="1">
      <alignment horizontal="center" vertical="center" wrapText="1"/>
    </xf>
    <xf numFmtId="14" fontId="22" fillId="0" borderId="9" xfId="0" applyNumberFormat="1" applyFont="1" applyBorder="1" applyAlignment="1">
      <alignment vertical="center" wrapText="1"/>
    </xf>
    <xf numFmtId="14" fontId="22" fillId="0" borderId="11" xfId="0" applyNumberFormat="1" applyFont="1" applyBorder="1" applyAlignment="1">
      <alignment vertical="center" wrapText="1"/>
    </xf>
    <xf numFmtId="14" fontId="22" fillId="0" borderId="38" xfId="0" applyNumberFormat="1" applyFont="1" applyBorder="1" applyAlignment="1">
      <alignment vertical="center" wrapText="1"/>
    </xf>
    <xf numFmtId="0" fontId="22" fillId="4" borderId="4" xfId="0" applyFont="1" applyFill="1" applyBorder="1" applyAlignment="1">
      <alignment horizontal="center" vertical="center" wrapText="1"/>
    </xf>
    <xf numFmtId="43" fontId="0" fillId="4" borderId="4" xfId="1" applyFont="1" applyFill="1" applyBorder="1" applyAlignment="1">
      <alignment vertical="center"/>
    </xf>
    <xf numFmtId="43" fontId="0" fillId="4" borderId="4" xfId="1" applyFont="1" applyFill="1" applyBorder="1" applyAlignment="1">
      <alignment horizontal="center" vertical="center"/>
    </xf>
    <xf numFmtId="43" fontId="4" fillId="4" borderId="4" xfId="1" applyFont="1" applyFill="1" applyBorder="1" applyAlignment="1">
      <alignment vertical="center"/>
    </xf>
    <xf numFmtId="43" fontId="6" fillId="4" borderId="4" xfId="1" applyFont="1" applyFill="1" applyBorder="1" applyAlignment="1">
      <alignment vertical="center"/>
    </xf>
    <xf numFmtId="43" fontId="6" fillId="4" borderId="4" xfId="1" applyFont="1" applyFill="1" applyBorder="1" applyAlignment="1">
      <alignment horizontal="right" vertical="center"/>
    </xf>
    <xf numFmtId="43" fontId="6" fillId="5" borderId="30" xfId="1" applyFont="1" applyFill="1" applyBorder="1" applyAlignment="1">
      <alignment vertical="center"/>
    </xf>
    <xf numFmtId="14" fontId="22" fillId="0" borderId="36" xfId="0" applyNumberFormat="1" applyFont="1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2" fontId="22" fillId="0" borderId="21" xfId="1" applyNumberFormat="1" applyFont="1" applyBorder="1" applyAlignment="1">
      <alignment horizontal="center" vertical="center" wrapText="1"/>
    </xf>
    <xf numFmtId="2" fontId="6" fillId="20" borderId="21" xfId="1" applyNumberFormat="1" applyFont="1" applyFill="1" applyBorder="1" applyAlignment="1">
      <alignment vertical="center"/>
    </xf>
    <xf numFmtId="2" fontId="4" fillId="20" borderId="21" xfId="1" applyNumberFormat="1" applyFont="1" applyFill="1" applyBorder="1" applyAlignment="1">
      <alignment vertical="center"/>
    </xf>
    <xf numFmtId="2" fontId="6" fillId="20" borderId="30" xfId="1" applyNumberFormat="1" applyFont="1" applyFill="1" applyBorder="1" applyAlignment="1">
      <alignment vertical="center"/>
    </xf>
    <xf numFmtId="2" fontId="0" fillId="0" borderId="0" xfId="0" applyNumberFormat="1"/>
    <xf numFmtId="166" fontId="22" fillId="0" borderId="1" xfId="0" applyNumberFormat="1" applyFont="1" applyBorder="1" applyAlignment="1">
      <alignment horizontal="center" vertical="center" wrapText="1"/>
    </xf>
    <xf numFmtId="166" fontId="22" fillId="0" borderId="2" xfId="0" applyNumberFormat="1" applyFont="1" applyBorder="1" applyAlignment="1">
      <alignment horizontal="center" vertical="center" wrapText="1"/>
    </xf>
    <xf numFmtId="166" fontId="22" fillId="0" borderId="21" xfId="0" applyNumberFormat="1" applyFont="1" applyBorder="1" applyAlignment="1">
      <alignment horizontal="center" vertical="center" wrapText="1"/>
    </xf>
    <xf numFmtId="166" fontId="22" fillId="0" borderId="18" xfId="0" applyNumberFormat="1" applyFont="1" applyBorder="1" applyAlignment="1">
      <alignment horizontal="center" vertical="center" wrapText="1"/>
    </xf>
    <xf numFmtId="166" fontId="22" fillId="16" borderId="13" xfId="0" applyNumberFormat="1" applyFont="1" applyFill="1" applyBorder="1" applyAlignment="1">
      <alignment horizontal="center" vertical="center" wrapText="1"/>
    </xf>
    <xf numFmtId="166" fontId="22" fillId="0" borderId="13" xfId="0" applyNumberFormat="1" applyFont="1" applyBorder="1" applyAlignment="1">
      <alignment horizontal="center" vertical="center" wrapText="1"/>
    </xf>
    <xf numFmtId="166" fontId="0" fillId="0" borderId="0" xfId="0" applyNumberFormat="1"/>
    <xf numFmtId="166" fontId="22" fillId="16" borderId="20" xfId="0" applyNumberFormat="1" applyFont="1" applyFill="1" applyBorder="1" applyAlignment="1">
      <alignment horizontal="center" vertical="center" wrapText="1"/>
    </xf>
    <xf numFmtId="166" fontId="35" fillId="0" borderId="13" xfId="0" applyNumberFormat="1" applyFont="1" applyBorder="1" applyAlignment="1">
      <alignment horizontal="center" vertical="center" wrapText="1"/>
    </xf>
    <xf numFmtId="166" fontId="22" fillId="16" borderId="1" xfId="0" applyNumberFormat="1" applyFont="1" applyFill="1" applyBorder="1" applyAlignment="1">
      <alignment horizontal="center" vertical="center" wrapText="1"/>
    </xf>
    <xf numFmtId="166" fontId="22" fillId="0" borderId="3" xfId="0" applyNumberFormat="1" applyFont="1" applyBorder="1" applyAlignment="1">
      <alignment horizontal="center" vertical="center" wrapText="1"/>
    </xf>
    <xf numFmtId="166" fontId="0" fillId="4" borderId="4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vertical="center"/>
    </xf>
    <xf numFmtId="166" fontId="0" fillId="0" borderId="8" xfId="0" applyNumberFormat="1" applyBorder="1" applyAlignment="1">
      <alignment vertical="center"/>
    </xf>
    <xf numFmtId="166" fontId="0" fillId="0" borderId="1" xfId="0" applyNumberFormat="1" applyBorder="1"/>
    <xf numFmtId="0" fontId="22" fillId="0" borderId="11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4" fontId="0" fillId="0" borderId="1" xfId="0" applyNumberFormat="1" applyBorder="1"/>
    <xf numFmtId="0" fontId="22" fillId="0" borderId="15" xfId="0" applyFont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right" vertical="center" wrapText="1"/>
    </xf>
    <xf numFmtId="43" fontId="22" fillId="16" borderId="1" xfId="1" applyFont="1" applyFill="1" applyBorder="1" applyAlignment="1">
      <alignment horizontal="right" vertical="center" wrapText="1"/>
    </xf>
    <xf numFmtId="43" fontId="0" fillId="4" borderId="4" xfId="1" applyFont="1" applyFill="1" applyBorder="1" applyAlignment="1">
      <alignment horizontal="right" vertical="center"/>
    </xf>
    <xf numFmtId="0" fontId="0" fillId="10" borderId="13" xfId="0" applyFill="1" applyBorder="1" applyAlignment="1">
      <alignment horizontal="right"/>
    </xf>
    <xf numFmtId="0" fontId="0" fillId="0" borderId="8" xfId="0" applyBorder="1" applyAlignment="1">
      <alignment horizontal="right" vertical="center"/>
    </xf>
    <xf numFmtId="43" fontId="12" fillId="0" borderId="1" xfId="1" applyFont="1" applyBorder="1" applyAlignment="1">
      <alignment horizontal="right"/>
    </xf>
    <xf numFmtId="0" fontId="22" fillId="0" borderId="4" xfId="0" applyFont="1" applyBorder="1" applyAlignment="1">
      <alignment horizontal="left" vertical="center" wrapText="1"/>
    </xf>
    <xf numFmtId="0" fontId="22" fillId="4" borderId="3" xfId="0" applyFont="1" applyFill="1" applyBorder="1" applyAlignment="1">
      <alignment horizontal="left" vertical="center" wrapText="1"/>
    </xf>
    <xf numFmtId="0" fontId="22" fillId="16" borderId="1" xfId="0" applyFont="1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4" fontId="22" fillId="16" borderId="4" xfId="3" applyFont="1" applyFill="1" applyBorder="1" applyAlignment="1">
      <alignment horizontal="right" vertical="center" wrapText="1"/>
    </xf>
    <xf numFmtId="44" fontId="22" fillId="16" borderId="14" xfId="3" applyFont="1" applyFill="1" applyBorder="1" applyAlignment="1">
      <alignment horizontal="right" vertical="center" wrapText="1"/>
    </xf>
    <xf numFmtId="44" fontId="22" fillId="16" borderId="15" xfId="3" applyFont="1" applyFill="1" applyBorder="1" applyAlignment="1">
      <alignment horizontal="right" vertical="center" wrapText="1"/>
    </xf>
    <xf numFmtId="44" fontId="22" fillId="16" borderId="21" xfId="3" applyFont="1" applyFill="1" applyBorder="1" applyAlignment="1">
      <alignment horizontal="right" vertical="center" wrapText="1"/>
    </xf>
    <xf numFmtId="14" fontId="33" fillId="0" borderId="11" xfId="0" applyNumberFormat="1" applyFont="1" applyBorder="1" applyAlignment="1">
      <alignment vertical="center" wrapText="1"/>
    </xf>
    <xf numFmtId="0" fontId="22" fillId="4" borderId="2" xfId="0" applyFont="1" applyFill="1" applyBorder="1" applyAlignment="1">
      <alignment horizontal="left" vertical="center" wrapText="1"/>
    </xf>
    <xf numFmtId="44" fontId="22" fillId="4" borderId="2" xfId="3" applyFont="1" applyFill="1" applyBorder="1" applyAlignment="1">
      <alignment horizontal="right" vertical="center" wrapText="1"/>
    </xf>
    <xf numFmtId="0" fontId="22" fillId="4" borderId="2" xfId="0" applyFont="1" applyFill="1" applyBorder="1" applyAlignment="1">
      <alignment horizontal="center" vertical="center" wrapText="1"/>
    </xf>
    <xf numFmtId="166" fontId="22" fillId="4" borderId="2" xfId="0" applyNumberFormat="1" applyFont="1" applyFill="1" applyBorder="1" applyAlignment="1">
      <alignment horizontal="center" vertical="center" wrapText="1"/>
    </xf>
    <xf numFmtId="43" fontId="22" fillId="4" borderId="2" xfId="1" applyFont="1" applyFill="1" applyBorder="1" applyAlignment="1">
      <alignment horizontal="center" vertical="center" wrapText="1"/>
    </xf>
    <xf numFmtId="43" fontId="6" fillId="4" borderId="2" xfId="1" applyFont="1" applyFill="1" applyBorder="1" applyAlignment="1">
      <alignment vertical="center"/>
    </xf>
    <xf numFmtId="43" fontId="6" fillId="4" borderId="2" xfId="1" applyFont="1" applyFill="1" applyBorder="1" applyAlignment="1">
      <alignment horizontal="right" vertical="center"/>
    </xf>
    <xf numFmtId="43" fontId="31" fillId="20" borderId="15" xfId="1" applyFont="1" applyFill="1" applyBorder="1" applyAlignment="1">
      <alignment vertical="center"/>
    </xf>
    <xf numFmtId="166" fontId="22" fillId="0" borderId="15" xfId="0" applyNumberFormat="1" applyFont="1" applyBorder="1" applyAlignment="1">
      <alignment horizontal="center" vertical="center" wrapText="1"/>
    </xf>
    <xf numFmtId="43" fontId="22" fillId="0" borderId="15" xfId="1" applyFont="1" applyBorder="1" applyAlignment="1">
      <alignment horizontal="center" vertical="center" wrapText="1"/>
    </xf>
    <xf numFmtId="43" fontId="34" fillId="0" borderId="21" xfId="1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4" fontId="0" fillId="0" borderId="24" xfId="0" applyNumberFormat="1" applyBorder="1"/>
    <xf numFmtId="43" fontId="34" fillId="0" borderId="18" xfId="1" applyFont="1" applyBorder="1" applyAlignment="1">
      <alignment horizontal="center" vertical="center" wrapText="1"/>
    </xf>
    <xf numFmtId="166" fontId="22" fillId="0" borderId="37" xfId="0" applyNumberFormat="1" applyFont="1" applyBorder="1" applyAlignment="1">
      <alignment horizontal="center" vertical="center" wrapText="1"/>
    </xf>
    <xf numFmtId="43" fontId="34" fillId="0" borderId="15" xfId="1" applyFont="1" applyBorder="1" applyAlignment="1">
      <alignment horizontal="center" vertical="center" wrapText="1"/>
    </xf>
    <xf numFmtId="43" fontId="6" fillId="20" borderId="15" xfId="1" applyFont="1" applyFill="1" applyBorder="1" applyAlignment="1">
      <alignment vertical="center"/>
    </xf>
    <xf numFmtId="43" fontId="4" fillId="20" borderId="15" xfId="1" applyFont="1" applyFill="1" applyBorder="1" applyAlignment="1">
      <alignment vertical="center"/>
    </xf>
    <xf numFmtId="44" fontId="22" fillId="16" borderId="1" xfId="3" applyFont="1" applyFill="1" applyBorder="1" applyAlignment="1">
      <alignment horizontal="right" vertical="center" wrapText="1"/>
    </xf>
    <xf numFmtId="14" fontId="22" fillId="0" borderId="39" xfId="0" applyNumberFormat="1" applyFont="1" applyBorder="1" applyAlignment="1">
      <alignment horizontal="left" vertical="center" wrapText="1"/>
    </xf>
    <xf numFmtId="14" fontId="22" fillId="0" borderId="40" xfId="0" applyNumberFormat="1" applyFont="1" applyBorder="1" applyAlignment="1">
      <alignment horizontal="left" vertical="center" wrapText="1"/>
    </xf>
    <xf numFmtId="8" fontId="22" fillId="0" borderId="2" xfId="1" applyNumberFormat="1" applyFont="1" applyBorder="1" applyAlignment="1">
      <alignment horizontal="center" vertical="center" wrapText="1"/>
    </xf>
    <xf numFmtId="44" fontId="22" fillId="16" borderId="2" xfId="3" applyFont="1" applyFill="1" applyBorder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14" fontId="22" fillId="0" borderId="27" xfId="0" applyNumberFormat="1" applyFont="1" applyBorder="1" applyAlignment="1">
      <alignment horizontal="center" vertical="center" wrapText="1"/>
    </xf>
    <xf numFmtId="44" fontId="22" fillId="16" borderId="18" xfId="3" applyFont="1" applyFill="1" applyBorder="1" applyAlignment="1">
      <alignment vertical="center" wrapText="1"/>
    </xf>
    <xf numFmtId="0" fontId="22" fillId="0" borderId="32" xfId="0" applyFont="1" applyBorder="1" applyAlignment="1">
      <alignment vertical="center" wrapText="1"/>
    </xf>
    <xf numFmtId="0" fontId="22" fillId="0" borderId="33" xfId="0" applyFont="1" applyBorder="1" applyAlignment="1">
      <alignment vertical="center" wrapText="1"/>
    </xf>
    <xf numFmtId="0" fontId="22" fillId="0" borderId="34" xfId="0" applyFont="1" applyBorder="1" applyAlignment="1">
      <alignment vertical="center" wrapText="1"/>
    </xf>
    <xf numFmtId="8" fontId="22" fillId="0" borderId="1" xfId="1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166" fontId="2" fillId="3" borderId="2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8" fillId="19" borderId="2" xfId="0" applyFont="1" applyFill="1" applyBorder="1" applyAlignment="1">
      <alignment horizontal="center" vertical="center" wrapText="1"/>
    </xf>
    <xf numFmtId="0" fontId="22" fillId="0" borderId="49" xfId="0" applyFont="1" applyBorder="1" applyAlignment="1">
      <alignment horizontal="center" vertical="center" wrapText="1"/>
    </xf>
    <xf numFmtId="43" fontId="22" fillId="0" borderId="21" xfId="1" applyFont="1" applyFill="1" applyBorder="1" applyAlignment="1">
      <alignment horizontal="center" vertical="center" wrapText="1"/>
    </xf>
    <xf numFmtId="0" fontId="0" fillId="0" borderId="2" xfId="0" applyBorder="1"/>
    <xf numFmtId="166" fontId="0" fillId="0" borderId="2" xfId="0" applyNumberFormat="1" applyBorder="1"/>
    <xf numFmtId="43" fontId="22" fillId="4" borderId="12" xfId="1" applyFont="1" applyFill="1" applyBorder="1" applyAlignment="1">
      <alignment horizontal="right" vertical="center" wrapText="1"/>
    </xf>
    <xf numFmtId="166" fontId="22" fillId="4" borderId="17" xfId="0" applyNumberFormat="1" applyFont="1" applyFill="1" applyBorder="1" applyAlignment="1">
      <alignment horizontal="center" vertical="center" wrapText="1"/>
    </xf>
    <xf numFmtId="0" fontId="0" fillId="0" borderId="21" xfId="0" applyBorder="1"/>
    <xf numFmtId="166" fontId="22" fillId="16" borderId="49" xfId="0" applyNumberFormat="1" applyFont="1" applyFill="1" applyBorder="1" applyAlignment="1">
      <alignment horizontal="center" vertical="center" wrapText="1"/>
    </xf>
    <xf numFmtId="43" fontId="22" fillId="16" borderId="21" xfId="1" applyFont="1" applyFill="1" applyBorder="1" applyAlignment="1">
      <alignment horizontal="center" vertical="center" wrapText="1"/>
    </xf>
    <xf numFmtId="166" fontId="22" fillId="16" borderId="50" xfId="0" applyNumberFormat="1" applyFont="1" applyFill="1" applyBorder="1" applyAlignment="1">
      <alignment horizontal="center" vertical="center" wrapText="1"/>
    </xf>
    <xf numFmtId="43" fontId="22" fillId="16" borderId="18" xfId="1" applyFont="1" applyFill="1" applyBorder="1" applyAlignment="1">
      <alignment horizontal="center" vertical="center" wrapText="1"/>
    </xf>
    <xf numFmtId="0" fontId="22" fillId="4" borderId="17" xfId="0" applyFont="1" applyFill="1" applyBorder="1" applyAlignment="1">
      <alignment horizontal="center" vertical="center" wrapText="1"/>
    </xf>
    <xf numFmtId="43" fontId="7" fillId="4" borderId="3" xfId="1" applyFont="1" applyFill="1" applyBorder="1" applyAlignment="1">
      <alignment vertical="center"/>
    </xf>
    <xf numFmtId="0" fontId="7" fillId="0" borderId="21" xfId="0" applyFont="1" applyBorder="1"/>
    <xf numFmtId="166" fontId="35" fillId="0" borderId="49" xfId="0" applyNumberFormat="1" applyFont="1" applyBorder="1" applyAlignment="1">
      <alignment horizontal="center" vertical="center" wrapText="1"/>
    </xf>
    <xf numFmtId="43" fontId="35" fillId="16" borderId="21" xfId="1" applyFont="1" applyFill="1" applyBorder="1" applyAlignment="1">
      <alignment horizontal="center" vertical="center" wrapText="1"/>
    </xf>
    <xf numFmtId="166" fontId="22" fillId="0" borderId="50" xfId="0" applyNumberFormat="1" applyFont="1" applyBorder="1" applyAlignment="1">
      <alignment horizontal="center" vertical="center" wrapText="1"/>
    </xf>
    <xf numFmtId="166" fontId="22" fillId="0" borderId="17" xfId="0" applyNumberFormat="1" applyFont="1" applyBorder="1" applyAlignment="1">
      <alignment horizontal="center" vertical="center" wrapText="1"/>
    </xf>
    <xf numFmtId="166" fontId="22" fillId="0" borderId="20" xfId="0" applyNumberFormat="1" applyFont="1" applyBorder="1" applyAlignment="1">
      <alignment horizontal="center" vertical="center" wrapText="1"/>
    </xf>
    <xf numFmtId="8" fontId="0" fillId="0" borderId="1" xfId="0" applyNumberFormat="1" applyBorder="1"/>
    <xf numFmtId="14" fontId="22" fillId="0" borderId="51" xfId="0" applyNumberFormat="1" applyFont="1" applyBorder="1" applyAlignment="1">
      <alignment horizontal="left" vertical="center" wrapText="1"/>
    </xf>
    <xf numFmtId="43" fontId="6" fillId="20" borderId="48" xfId="1" applyFont="1" applyFill="1" applyBorder="1" applyAlignment="1">
      <alignment horizontal="center" vertical="center"/>
    </xf>
    <xf numFmtId="14" fontId="22" fillId="0" borderId="39" xfId="0" applyNumberFormat="1" applyFont="1" applyBorder="1" applyAlignment="1">
      <alignment vertical="center" wrapText="1"/>
    </xf>
    <xf numFmtId="14" fontId="22" fillId="0" borderId="45" xfId="0" applyNumberFormat="1" applyFont="1" applyBorder="1" applyAlignment="1">
      <alignment vertical="center" wrapText="1"/>
    </xf>
    <xf numFmtId="43" fontId="6" fillId="5" borderId="48" xfId="1" applyFont="1" applyFill="1" applyBorder="1" applyAlignment="1">
      <alignment vertical="center"/>
    </xf>
    <xf numFmtId="2" fontId="22" fillId="0" borderId="1" xfId="1" applyNumberFormat="1" applyFont="1" applyBorder="1" applyAlignment="1">
      <alignment horizontal="center" vertical="center" wrapText="1"/>
    </xf>
    <xf numFmtId="2" fontId="6" fillId="20" borderId="1" xfId="1" applyNumberFormat="1" applyFont="1" applyFill="1" applyBorder="1" applyAlignment="1">
      <alignment vertical="center"/>
    </xf>
    <xf numFmtId="2" fontId="4" fillId="20" borderId="1" xfId="1" applyNumberFormat="1" applyFont="1" applyFill="1" applyBorder="1" applyAlignment="1">
      <alignment vertical="center"/>
    </xf>
    <xf numFmtId="2" fontId="22" fillId="0" borderId="39" xfId="0" applyNumberFormat="1" applyFont="1" applyBorder="1" applyAlignment="1">
      <alignment horizontal="left" vertical="center" wrapText="1"/>
    </xf>
    <xf numFmtId="2" fontId="22" fillId="0" borderId="21" xfId="0" applyNumberFormat="1" applyFont="1" applyBorder="1" applyAlignment="1">
      <alignment horizontal="center" vertical="center" wrapText="1"/>
    </xf>
    <xf numFmtId="2" fontId="6" fillId="20" borderId="52" xfId="1" applyNumberFormat="1" applyFont="1" applyFill="1" applyBorder="1" applyAlignment="1">
      <alignment vertical="center"/>
    </xf>
    <xf numFmtId="0" fontId="0" fillId="0" borderId="20" xfId="0" applyBorder="1"/>
    <xf numFmtId="14" fontId="22" fillId="0" borderId="1" xfId="0" applyNumberFormat="1" applyFont="1" applyBorder="1" applyAlignment="1">
      <alignment vertical="center" wrapText="1"/>
    </xf>
    <xf numFmtId="14" fontId="22" fillId="0" borderId="21" xfId="0" applyNumberFormat="1" applyFont="1" applyBorder="1" applyAlignment="1">
      <alignment vertical="center" wrapText="1"/>
    </xf>
    <xf numFmtId="14" fontId="22" fillId="0" borderId="18" xfId="0" applyNumberFormat="1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textRotation="255" wrapText="1"/>
    </xf>
    <xf numFmtId="43" fontId="3" fillId="4" borderId="2" xfId="1" applyFont="1" applyFill="1" applyBorder="1" applyAlignment="1">
      <alignment horizontal="center" vertical="center" wrapText="1"/>
    </xf>
    <xf numFmtId="43" fontId="3" fillId="4" borderId="4" xfId="1" applyFont="1" applyFill="1" applyBorder="1" applyAlignment="1">
      <alignment horizontal="center" vertical="center" wrapText="1"/>
    </xf>
    <xf numFmtId="43" fontId="3" fillId="4" borderId="3" xfId="1" applyFont="1" applyFill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 vertical="center" wrapText="1"/>
    </xf>
    <xf numFmtId="14" fontId="9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3" fillId="5" borderId="0" xfId="0" applyFont="1" applyFill="1" applyAlignment="1">
      <alignment horizontal="right"/>
    </xf>
    <xf numFmtId="0" fontId="11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textRotation="255"/>
    </xf>
    <xf numFmtId="0" fontId="8" fillId="0" borderId="4" xfId="0" applyFont="1" applyBorder="1" applyAlignment="1">
      <alignment horizontal="center" vertical="center" textRotation="255"/>
    </xf>
    <xf numFmtId="0" fontId="8" fillId="0" borderId="3" xfId="0" applyFont="1" applyBorder="1" applyAlignment="1">
      <alignment horizontal="center" vertical="center" textRotation="255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43" fontId="3" fillId="16" borderId="2" xfId="1" applyFont="1" applyFill="1" applyBorder="1" applyAlignment="1">
      <alignment horizontal="center" vertical="center" wrapText="1"/>
    </xf>
    <xf numFmtId="43" fontId="3" fillId="16" borderId="4" xfId="1" applyFont="1" applyFill="1" applyBorder="1" applyAlignment="1">
      <alignment horizontal="center" vertical="center" wrapText="1"/>
    </xf>
    <xf numFmtId="43" fontId="3" fillId="16" borderId="3" xfId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right"/>
    </xf>
    <xf numFmtId="0" fontId="3" fillId="16" borderId="1" xfId="0" applyFont="1" applyFill="1" applyBorder="1" applyAlignment="1">
      <alignment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textRotation="255" wrapText="1"/>
    </xf>
    <xf numFmtId="0" fontId="8" fillId="0" borderId="11" xfId="0" applyFont="1" applyBorder="1" applyAlignment="1">
      <alignment horizontal="center" vertical="center" textRotation="255" wrapText="1"/>
    </xf>
    <xf numFmtId="0" fontId="8" fillId="0" borderId="12" xfId="0" applyFont="1" applyBorder="1" applyAlignment="1">
      <alignment horizontal="center" vertical="center" textRotation="255" wrapText="1"/>
    </xf>
    <xf numFmtId="43" fontId="3" fillId="16" borderId="1" xfId="1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textRotation="255"/>
    </xf>
    <xf numFmtId="0" fontId="8" fillId="0" borderId="11" xfId="0" applyFont="1" applyBorder="1" applyAlignment="1">
      <alignment horizontal="center" vertical="center" textRotation="255"/>
    </xf>
    <xf numFmtId="0" fontId="10" fillId="0" borderId="1" xfId="0" applyFont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164" fontId="17" fillId="4" borderId="1" xfId="0" applyNumberFormat="1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43" fontId="3" fillId="17" borderId="1" xfId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43" fontId="6" fillId="0" borderId="1" xfId="1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44" fontId="22" fillId="16" borderId="21" xfId="3" applyFont="1" applyFill="1" applyBorder="1" applyAlignment="1">
      <alignment horizontal="center" vertical="center" wrapText="1"/>
    </xf>
    <xf numFmtId="44" fontId="22" fillId="16" borderId="1" xfId="3" applyFont="1" applyFill="1" applyBorder="1" applyAlignment="1">
      <alignment horizontal="center" vertical="center" wrapText="1"/>
    </xf>
    <xf numFmtId="14" fontId="22" fillId="0" borderId="21" xfId="0" applyNumberFormat="1" applyFont="1" applyBorder="1" applyAlignment="1">
      <alignment horizontal="center" vertical="center" wrapText="1"/>
    </xf>
    <xf numFmtId="14" fontId="22" fillId="0" borderId="1" xfId="0" applyNumberFormat="1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14" fontId="22" fillId="0" borderId="18" xfId="0" applyNumberFormat="1" applyFont="1" applyBorder="1" applyAlignment="1">
      <alignment horizontal="center" vertical="center" wrapText="1"/>
    </xf>
    <xf numFmtId="43" fontId="6" fillId="5" borderId="22" xfId="1" applyFont="1" applyFill="1" applyBorder="1" applyAlignment="1">
      <alignment horizontal="center" vertical="center"/>
    </xf>
    <xf numFmtId="43" fontId="6" fillId="5" borderId="54" xfId="1" applyFont="1" applyFill="1" applyBorder="1" applyAlignment="1">
      <alignment horizontal="center" vertical="center"/>
    </xf>
    <xf numFmtId="43" fontId="6" fillId="5" borderId="52" xfId="1" applyFont="1" applyFill="1" applyBorder="1" applyAlignment="1">
      <alignment horizontal="center" vertical="center"/>
    </xf>
    <xf numFmtId="43" fontId="6" fillId="5" borderId="31" xfId="1" applyFont="1" applyFill="1" applyBorder="1" applyAlignment="1">
      <alignment horizontal="center" vertical="center"/>
    </xf>
    <xf numFmtId="14" fontId="22" fillId="0" borderId="51" xfId="0" applyNumberFormat="1" applyFont="1" applyBorder="1" applyAlignment="1">
      <alignment horizontal="left" vertical="center" wrapText="1"/>
    </xf>
    <xf numFmtId="14" fontId="22" fillId="0" borderId="45" xfId="0" applyNumberFormat="1" applyFont="1" applyBorder="1" applyAlignment="1">
      <alignment horizontal="left" vertical="center" wrapText="1"/>
    </xf>
    <xf numFmtId="44" fontId="22" fillId="16" borderId="2" xfId="3" applyFont="1" applyFill="1" applyBorder="1" applyAlignment="1">
      <alignment horizontal="center" vertical="center" wrapText="1"/>
    </xf>
    <xf numFmtId="43" fontId="6" fillId="5" borderId="48" xfId="1" applyFont="1" applyFill="1" applyBorder="1" applyAlignment="1">
      <alignment horizontal="center" vertical="center"/>
    </xf>
    <xf numFmtId="43" fontId="6" fillId="5" borderId="23" xfId="1" applyFont="1" applyFill="1" applyBorder="1" applyAlignment="1">
      <alignment horizontal="center" vertical="center"/>
    </xf>
    <xf numFmtId="44" fontId="22" fillId="16" borderId="3" xfId="3" applyFont="1" applyFill="1" applyBorder="1" applyAlignment="1">
      <alignment horizontal="right" vertical="center" wrapText="1"/>
    </xf>
    <xf numFmtId="44" fontId="22" fillId="16" borderId="1" xfId="3" applyFont="1" applyFill="1" applyBorder="1" applyAlignment="1">
      <alignment horizontal="right" vertical="center" wrapText="1"/>
    </xf>
    <xf numFmtId="14" fontId="22" fillId="0" borderId="53" xfId="0" applyNumberFormat="1" applyFont="1" applyBorder="1" applyAlignment="1">
      <alignment horizontal="left" vertical="center" wrapText="1"/>
    </xf>
    <xf numFmtId="14" fontId="22" fillId="0" borderId="1" xfId="0" applyNumberFormat="1" applyFont="1" applyBorder="1" applyAlignment="1">
      <alignment horizontal="left" vertical="center" wrapText="1"/>
    </xf>
    <xf numFmtId="44" fontId="6" fillId="0" borderId="1" xfId="3" applyFont="1" applyBorder="1" applyAlignment="1">
      <alignment horizontal="right"/>
    </xf>
    <xf numFmtId="44" fontId="22" fillId="16" borderId="2" xfId="3" applyFont="1" applyFill="1" applyBorder="1" applyAlignment="1">
      <alignment horizontal="right" vertical="center" wrapText="1"/>
    </xf>
    <xf numFmtId="14" fontId="22" fillId="0" borderId="18" xfId="0" applyNumberFormat="1" applyFont="1" applyBorder="1" applyAlignment="1">
      <alignment horizontal="left" vertical="center" wrapText="1"/>
    </xf>
    <xf numFmtId="44" fontId="6" fillId="0" borderId="1" xfId="3" applyFont="1" applyBorder="1" applyAlignment="1">
      <alignment horizontal="center"/>
    </xf>
    <xf numFmtId="44" fontId="6" fillId="0" borderId="18" xfId="3" applyFont="1" applyBorder="1" applyAlignment="1">
      <alignment horizontal="center"/>
    </xf>
    <xf numFmtId="44" fontId="22" fillId="16" borderId="21" xfId="3" applyFont="1" applyFill="1" applyBorder="1" applyAlignment="1">
      <alignment horizontal="right" vertical="center" wrapText="1"/>
    </xf>
    <xf numFmtId="2" fontId="6" fillId="5" borderId="30" xfId="1" applyNumberFormat="1" applyFont="1" applyFill="1" applyBorder="1" applyAlignment="1">
      <alignment horizontal="right" vertical="center"/>
    </xf>
    <xf numFmtId="2" fontId="6" fillId="5" borderId="52" xfId="1" applyNumberFormat="1" applyFont="1" applyFill="1" applyBorder="1" applyAlignment="1">
      <alignment horizontal="right" vertical="center"/>
    </xf>
    <xf numFmtId="2" fontId="6" fillId="20" borderId="54" xfId="1" applyNumberFormat="1" applyFont="1" applyFill="1" applyBorder="1" applyAlignment="1">
      <alignment horizontal="right" vertical="center"/>
    </xf>
    <xf numFmtId="2" fontId="6" fillId="20" borderId="52" xfId="1" applyNumberFormat="1" applyFont="1" applyFill="1" applyBorder="1" applyAlignment="1">
      <alignment horizontal="right" vertical="center"/>
    </xf>
    <xf numFmtId="14" fontId="22" fillId="0" borderId="51" xfId="0" applyNumberFormat="1" applyFont="1" applyBorder="1" applyAlignment="1">
      <alignment horizontal="center" vertical="center" wrapText="1"/>
    </xf>
    <xf numFmtId="43" fontId="6" fillId="20" borderId="32" xfId="1" applyFont="1" applyFill="1" applyBorder="1" applyAlignment="1">
      <alignment horizontal="center" vertical="center"/>
    </xf>
    <xf numFmtId="43" fontId="6" fillId="20" borderId="33" xfId="1" applyFont="1" applyFill="1" applyBorder="1" applyAlignment="1">
      <alignment horizontal="center" vertical="center"/>
    </xf>
    <xf numFmtId="0" fontId="22" fillId="0" borderId="36" xfId="0" applyFont="1" applyBorder="1" applyAlignment="1">
      <alignment horizontal="left" vertical="center" wrapText="1"/>
    </xf>
    <xf numFmtId="0" fontId="22" fillId="0" borderId="11" xfId="0" applyFont="1" applyBorder="1" applyAlignment="1">
      <alignment horizontal="left" vertical="center" wrapText="1"/>
    </xf>
    <xf numFmtId="43" fontId="22" fillId="16" borderId="32" xfId="1" applyFont="1" applyFill="1" applyBorder="1" applyAlignment="1">
      <alignment horizontal="right" vertical="center" wrapText="1"/>
    </xf>
    <xf numFmtId="43" fontId="22" fillId="16" borderId="33" xfId="1" applyFont="1" applyFill="1" applyBorder="1" applyAlignment="1">
      <alignment horizontal="right" vertical="center" wrapText="1"/>
    </xf>
    <xf numFmtId="43" fontId="6" fillId="20" borderId="22" xfId="1" applyFont="1" applyFill="1" applyBorder="1" applyAlignment="1">
      <alignment horizontal="center" vertical="center"/>
    </xf>
    <xf numFmtId="43" fontId="6" fillId="20" borderId="23" xfId="1" applyFont="1" applyFill="1" applyBorder="1" applyAlignment="1">
      <alignment horizontal="center" vertical="center"/>
    </xf>
    <xf numFmtId="43" fontId="6" fillId="20" borderId="25" xfId="1" applyFont="1" applyFill="1" applyBorder="1" applyAlignment="1">
      <alignment horizontal="center" vertical="center"/>
    </xf>
    <xf numFmtId="14" fontId="22" fillId="0" borderId="26" xfId="0" applyNumberFormat="1" applyFont="1" applyBorder="1" applyAlignment="1">
      <alignment horizontal="left" vertical="center" wrapText="1"/>
    </xf>
    <xf numFmtId="14" fontId="22" fillId="0" borderId="27" xfId="0" applyNumberFormat="1" applyFont="1" applyBorder="1" applyAlignment="1">
      <alignment horizontal="left" vertical="center" wrapText="1"/>
    </xf>
    <xf numFmtId="14" fontId="22" fillId="0" borderId="28" xfId="0" applyNumberFormat="1" applyFont="1" applyBorder="1" applyAlignment="1">
      <alignment horizontal="left" vertical="center" wrapText="1"/>
    </xf>
    <xf numFmtId="44" fontId="22" fillId="16" borderId="15" xfId="3" applyFont="1" applyFill="1" applyBorder="1" applyAlignment="1">
      <alignment horizontal="right" vertical="center" wrapText="1"/>
    </xf>
    <xf numFmtId="44" fontId="22" fillId="16" borderId="4" xfId="3" applyFont="1" applyFill="1" applyBorder="1" applyAlignment="1">
      <alignment horizontal="right" vertical="center" wrapText="1"/>
    </xf>
    <xf numFmtId="44" fontId="22" fillId="16" borderId="14" xfId="3" applyFont="1" applyFill="1" applyBorder="1" applyAlignment="1">
      <alignment horizontal="right" vertical="center" wrapText="1"/>
    </xf>
    <xf numFmtId="43" fontId="6" fillId="20" borderId="22" xfId="1" applyFont="1" applyFill="1" applyBorder="1" applyAlignment="1">
      <alignment horizontal="right" vertical="center"/>
    </xf>
    <xf numFmtId="43" fontId="6" fillId="20" borderId="23" xfId="1" applyFont="1" applyFill="1" applyBorder="1" applyAlignment="1">
      <alignment horizontal="right" vertical="center"/>
    </xf>
    <xf numFmtId="43" fontId="6" fillId="20" borderId="25" xfId="1" applyFont="1" applyFill="1" applyBorder="1" applyAlignment="1">
      <alignment horizontal="right" vertical="center"/>
    </xf>
    <xf numFmtId="0" fontId="22" fillId="0" borderId="37" xfId="0" applyFont="1" applyBorder="1" applyAlignment="1">
      <alignment horizontal="left" vertical="center" wrapText="1"/>
    </xf>
    <xf numFmtId="0" fontId="22" fillId="0" borderId="29" xfId="0" applyFont="1" applyBorder="1" applyAlignment="1">
      <alignment horizontal="left" vertical="center" wrapText="1"/>
    </xf>
    <xf numFmtId="0" fontId="22" fillId="0" borderId="41" xfId="0" applyFont="1" applyBorder="1" applyAlignment="1">
      <alignment horizontal="left" vertical="center" wrapText="1"/>
    </xf>
    <xf numFmtId="43" fontId="22" fillId="16" borderId="15" xfId="1" applyFont="1" applyFill="1" applyBorder="1" applyAlignment="1">
      <alignment horizontal="center" vertical="center" wrapText="1"/>
    </xf>
    <xf numFmtId="43" fontId="22" fillId="16" borderId="4" xfId="1" applyFont="1" applyFill="1" applyBorder="1" applyAlignment="1">
      <alignment horizontal="center" vertical="center" wrapText="1"/>
    </xf>
    <xf numFmtId="43" fontId="7" fillId="20" borderId="46" xfId="1" applyFont="1" applyFill="1" applyBorder="1" applyAlignment="1">
      <alignment horizontal="center" vertical="center"/>
    </xf>
    <xf numFmtId="43" fontId="7" fillId="20" borderId="44" xfId="1" applyFont="1" applyFill="1" applyBorder="1" applyAlignment="1">
      <alignment horizontal="center" vertical="center"/>
    </xf>
    <xf numFmtId="43" fontId="7" fillId="20" borderId="47" xfId="1" applyFont="1" applyFill="1" applyBorder="1" applyAlignment="1">
      <alignment horizontal="center" vertical="center"/>
    </xf>
    <xf numFmtId="0" fontId="30" fillId="24" borderId="2" xfId="0" applyFont="1" applyFill="1" applyBorder="1" applyAlignment="1">
      <alignment horizontal="center" vertical="center" textRotation="255" wrapText="1"/>
    </xf>
    <xf numFmtId="0" fontId="30" fillId="24" borderId="4" xfId="0" applyFont="1" applyFill="1" applyBorder="1" applyAlignment="1">
      <alignment horizontal="center" vertical="center" textRotation="255" wrapText="1"/>
    </xf>
    <xf numFmtId="0" fontId="30" fillId="24" borderId="11" xfId="0" applyFont="1" applyFill="1" applyBorder="1" applyAlignment="1">
      <alignment horizontal="center" vertical="center" textRotation="255" wrapText="1"/>
    </xf>
    <xf numFmtId="14" fontId="22" fillId="0" borderId="9" xfId="0" applyNumberFormat="1" applyFont="1" applyBorder="1" applyAlignment="1">
      <alignment horizontal="center" vertical="center" wrapText="1"/>
    </xf>
    <xf numFmtId="14" fontId="22" fillId="0" borderId="11" xfId="0" applyNumberFormat="1" applyFont="1" applyBorder="1" applyAlignment="1">
      <alignment horizontal="center" vertical="center" wrapText="1"/>
    </xf>
    <xf numFmtId="14" fontId="22" fillId="0" borderId="38" xfId="0" applyNumberFormat="1" applyFont="1" applyBorder="1" applyAlignment="1">
      <alignment horizontal="center" vertical="center" wrapText="1"/>
    </xf>
    <xf numFmtId="14" fontId="22" fillId="0" borderId="2" xfId="0" applyNumberFormat="1" applyFont="1" applyBorder="1" applyAlignment="1">
      <alignment horizontal="center" vertical="center" wrapText="1"/>
    </xf>
    <xf numFmtId="14" fontId="22" fillId="0" borderId="4" xfId="0" applyNumberFormat="1" applyFont="1" applyBorder="1" applyAlignment="1">
      <alignment horizontal="center" vertical="center" wrapText="1"/>
    </xf>
    <xf numFmtId="14" fontId="22" fillId="0" borderId="15" xfId="0" applyNumberFormat="1" applyFont="1" applyBorder="1" applyAlignment="1">
      <alignment horizontal="center" vertical="center" wrapText="1"/>
    </xf>
    <xf numFmtId="14" fontId="22" fillId="0" borderId="14" xfId="0" applyNumberFormat="1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textRotation="255" wrapText="1"/>
    </xf>
    <xf numFmtId="0" fontId="8" fillId="7" borderId="11" xfId="0" applyFont="1" applyFill="1" applyBorder="1" applyAlignment="1">
      <alignment horizontal="center" vertical="center" textRotation="255" wrapText="1"/>
    </xf>
    <xf numFmtId="0" fontId="0" fillId="0" borderId="1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22" fillId="16" borderId="15" xfId="0" applyFont="1" applyFill="1" applyBorder="1" applyAlignment="1">
      <alignment horizontal="left" vertical="center" wrapText="1"/>
    </xf>
    <xf numFmtId="0" fontId="22" fillId="16" borderId="4" xfId="0" applyFont="1" applyFill="1" applyBorder="1" applyAlignment="1">
      <alignment horizontal="left" vertical="center" wrapText="1"/>
    </xf>
    <xf numFmtId="0" fontId="22" fillId="16" borderId="14" xfId="0" applyFont="1" applyFill="1" applyBorder="1" applyAlignment="1">
      <alignment horizontal="left" vertical="center" wrapText="1"/>
    </xf>
    <xf numFmtId="43" fontId="22" fillId="16" borderId="15" xfId="1" applyFont="1" applyFill="1" applyBorder="1" applyAlignment="1">
      <alignment horizontal="right" vertical="center" wrapText="1"/>
    </xf>
    <xf numFmtId="43" fontId="22" fillId="16" borderId="4" xfId="1" applyFont="1" applyFill="1" applyBorder="1" applyAlignment="1">
      <alignment horizontal="right" vertical="center" wrapText="1"/>
    </xf>
    <xf numFmtId="43" fontId="22" fillId="16" borderId="14" xfId="1" applyFont="1" applyFill="1" applyBorder="1" applyAlignment="1">
      <alignment horizontal="right" vertical="center" wrapText="1"/>
    </xf>
    <xf numFmtId="0" fontId="22" fillId="16" borderId="2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43" fontId="22" fillId="16" borderId="36" xfId="1" applyFont="1" applyFill="1" applyBorder="1" applyAlignment="1">
      <alignment horizontal="right" vertical="center" wrapText="1"/>
    </xf>
    <xf numFmtId="43" fontId="22" fillId="16" borderId="11" xfId="1" applyFont="1" applyFill="1" applyBorder="1" applyAlignment="1">
      <alignment horizontal="right" vertical="center" wrapText="1"/>
    </xf>
    <xf numFmtId="43" fontId="22" fillId="16" borderId="38" xfId="1" applyFont="1" applyFill="1" applyBorder="1" applyAlignment="1">
      <alignment horizontal="right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5" xfId="0" applyFont="1" applyBorder="1" applyAlignment="1">
      <alignment horizontal="left" vertical="center" wrapText="1"/>
    </xf>
    <xf numFmtId="0" fontId="22" fillId="0" borderId="4" xfId="0" applyFont="1" applyBorder="1" applyAlignment="1">
      <alignment horizontal="left" vertical="center" wrapText="1"/>
    </xf>
    <xf numFmtId="14" fontId="22" fillId="0" borderId="26" xfId="0" applyNumberFormat="1" applyFont="1" applyBorder="1" applyAlignment="1">
      <alignment horizontal="center" vertical="center" wrapText="1"/>
    </xf>
    <xf numFmtId="14" fontId="22" fillId="0" borderId="27" xfId="0" applyNumberFormat="1" applyFont="1" applyBorder="1" applyAlignment="1">
      <alignment horizontal="center" vertical="center" wrapText="1"/>
    </xf>
    <xf numFmtId="14" fontId="22" fillId="0" borderId="36" xfId="0" applyNumberFormat="1" applyFont="1" applyBorder="1" applyAlignment="1">
      <alignment horizontal="center" vertical="center" wrapText="1"/>
    </xf>
    <xf numFmtId="14" fontId="22" fillId="0" borderId="28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left"/>
    </xf>
    <xf numFmtId="0" fontId="0" fillId="10" borderId="3" xfId="0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4" fontId="22" fillId="0" borderId="39" xfId="0" applyNumberFormat="1" applyFont="1" applyBorder="1" applyAlignment="1">
      <alignment horizontal="left" vertical="center" wrapText="1"/>
    </xf>
    <xf numFmtId="43" fontId="6" fillId="5" borderId="30" xfId="1" applyFont="1" applyFill="1" applyBorder="1" applyAlignment="1">
      <alignment horizontal="center" vertical="center"/>
    </xf>
    <xf numFmtId="2" fontId="22" fillId="0" borderId="42" xfId="0" applyNumberFormat="1" applyFont="1" applyBorder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2" fontId="22" fillId="0" borderId="24" xfId="0" applyNumberFormat="1" applyFont="1" applyBorder="1" applyAlignment="1">
      <alignment horizontal="center" vertical="center" wrapText="1"/>
    </xf>
    <xf numFmtId="0" fontId="22" fillId="16" borderId="15" xfId="0" applyFont="1" applyFill="1" applyBorder="1" applyAlignment="1">
      <alignment horizontal="center" vertical="center" wrapText="1"/>
    </xf>
    <xf numFmtId="0" fontId="22" fillId="16" borderId="4" xfId="0" applyFont="1" applyFill="1" applyBorder="1" applyAlignment="1">
      <alignment horizontal="center" vertical="center" wrapText="1"/>
    </xf>
    <xf numFmtId="0" fontId="22" fillId="16" borderId="14" xfId="0" applyFont="1" applyFill="1" applyBorder="1" applyAlignment="1">
      <alignment horizontal="center" vertical="center" wrapText="1"/>
    </xf>
    <xf numFmtId="166" fontId="0" fillId="0" borderId="36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6" fontId="0" fillId="0" borderId="38" xfId="0" applyNumberFormat="1" applyBorder="1" applyAlignment="1">
      <alignment horizontal="center" vertical="center"/>
    </xf>
    <xf numFmtId="166" fontId="6" fillId="20" borderId="22" xfId="1" applyNumberFormat="1" applyFont="1" applyFill="1" applyBorder="1" applyAlignment="1">
      <alignment horizontal="center" vertical="center"/>
    </xf>
    <xf numFmtId="166" fontId="6" fillId="20" borderId="23" xfId="1" applyNumberFormat="1" applyFont="1" applyFill="1" applyBorder="1" applyAlignment="1">
      <alignment horizontal="center" vertical="center"/>
    </xf>
    <xf numFmtId="166" fontId="6" fillId="20" borderId="25" xfId="1" applyNumberFormat="1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43" fontId="6" fillId="20" borderId="52" xfId="1" applyFont="1" applyFill="1" applyBorder="1" applyAlignment="1">
      <alignment horizontal="center" vertical="center"/>
    </xf>
    <xf numFmtId="167" fontId="6" fillId="5" borderId="22" xfId="1" applyNumberFormat="1" applyFont="1" applyFill="1" applyBorder="1" applyAlignment="1">
      <alignment horizontal="right" vertical="center"/>
    </xf>
    <xf numFmtId="167" fontId="6" fillId="5" borderId="23" xfId="1" applyNumberFormat="1" applyFont="1" applyFill="1" applyBorder="1" applyAlignment="1">
      <alignment horizontal="right" vertical="center"/>
    </xf>
    <xf numFmtId="167" fontId="6" fillId="5" borderId="25" xfId="1" applyNumberFormat="1" applyFont="1" applyFill="1" applyBorder="1" applyAlignment="1">
      <alignment horizontal="right" vertical="center"/>
    </xf>
    <xf numFmtId="43" fontId="6" fillId="20" borderId="48" xfId="1" applyFont="1" applyFill="1" applyBorder="1" applyAlignment="1">
      <alignment horizontal="center" vertical="center"/>
    </xf>
    <xf numFmtId="44" fontId="22" fillId="16" borderId="36" xfId="3" applyFont="1" applyFill="1" applyBorder="1" applyAlignment="1">
      <alignment horizontal="center" vertical="center" wrapText="1"/>
    </xf>
    <xf numFmtId="44" fontId="22" fillId="16" borderId="11" xfId="3" applyFont="1" applyFill="1" applyBorder="1" applyAlignment="1">
      <alignment horizontal="center" vertical="center" wrapText="1"/>
    </xf>
    <xf numFmtId="44" fontId="22" fillId="16" borderId="38" xfId="3" applyFont="1" applyFill="1" applyBorder="1" applyAlignment="1">
      <alignment horizontal="center" vertical="center" wrapText="1"/>
    </xf>
    <xf numFmtId="44" fontId="22" fillId="16" borderId="4" xfId="3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</cellXfs>
  <cellStyles count="4">
    <cellStyle name="Milliers" xfId="1" builtinId="3"/>
    <cellStyle name="Monétaire" xfId="3" builtinId="4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FF8B8B"/>
      <color rgb="FFEF9D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nardi Céline" id="{7E89EE6E-7DFD-408E-AA3E-65311544E628}" userId="S::cminardi@lagrandemotte.fr::43be8eb1-c90e-48cf-90f0-4da763379441" providerId="AD"/>
</personList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4" dT="2022-10-18T06:05:33.10" personId="{7E89EE6E-7DFD-408E-AA3E-65311544E628}" id="{EB8303F7-2FDA-4E82-AED6-F3B651C146F9}">
    <text>Montants faux : ??</text>
  </threadedComment>
  <threadedComment ref="F55" dT="2022-10-18T06:05:52.19" personId="{7E89EE6E-7DFD-408E-AA3E-65311544E628}" id="{35768D58-1304-483D-856D-9180EEEA2347}">
    <text>Montant Faux : ??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6" dT="2024-08-05T09:34:10.94" personId="{7E89EE6E-7DFD-408E-AA3E-65311544E628}" id="{E9E5156E-E1E7-4E30-886F-DFC563A089D4}">
    <text>Attention le bdc est à 25k. Ne pas facturer plus que 18k- l reste chez duplan bdc a part</text>
  </threadedComment>
  <threadedComment ref="E56" dT="2024-08-05T09:14:37.96" personId="{7E89EE6E-7DFD-408E-AA3E-65311544E628}" id="{40226F9A-7353-427E-9217-2991224DDA71}">
    <text>Attention les 430euros conception de to1 et to2 ont été payés sur tf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BA4BF-01B0-4740-A9A9-049B0EDE10F9}">
  <dimension ref="A2:K71"/>
  <sheetViews>
    <sheetView topLeftCell="A8" zoomScale="85" zoomScaleNormal="85" workbookViewId="0">
      <selection activeCell="H38" sqref="H38:H41"/>
    </sheetView>
  </sheetViews>
  <sheetFormatPr baseColWidth="10" defaultRowHeight="15" x14ac:dyDescent="0.25"/>
  <cols>
    <col min="1" max="1" width="15.7109375" customWidth="1"/>
    <col min="2" max="2" width="25.7109375" customWidth="1"/>
    <col min="3" max="3" width="28.42578125" customWidth="1"/>
    <col min="4" max="4" width="25.7109375" customWidth="1"/>
    <col min="5" max="5" width="13.140625" style="51" customWidth="1"/>
    <col min="6" max="6" width="20.7109375" customWidth="1"/>
    <col min="7" max="7" width="13.140625" customWidth="1"/>
    <col min="8" max="8" width="21.28515625" customWidth="1"/>
    <col min="9" max="9" width="27.140625" customWidth="1"/>
    <col min="10" max="10" width="21.28515625" customWidth="1"/>
    <col min="11" max="11" width="27.140625" customWidth="1"/>
  </cols>
  <sheetData>
    <row r="2" spans="1:11" ht="20.25" x14ac:dyDescent="0.3">
      <c r="A2" s="366" t="s">
        <v>1</v>
      </c>
      <c r="B2" s="366"/>
      <c r="C2" s="366"/>
      <c r="D2" s="366"/>
      <c r="E2" s="366"/>
      <c r="F2" s="366"/>
      <c r="G2" s="366"/>
    </row>
    <row r="3" spans="1:11" ht="20.25" x14ac:dyDescent="0.3">
      <c r="A3" s="366" t="s">
        <v>2</v>
      </c>
      <c r="B3" s="366"/>
      <c r="C3" s="366"/>
      <c r="D3" s="366"/>
      <c r="E3" s="366"/>
      <c r="F3" s="366"/>
      <c r="G3" s="366"/>
    </row>
    <row r="5" spans="1:11" ht="34.9" customHeight="1" x14ac:dyDescent="0.25">
      <c r="A5" s="3" t="s">
        <v>0</v>
      </c>
      <c r="B5" s="3" t="s">
        <v>3</v>
      </c>
      <c r="C5" s="3" t="s">
        <v>4</v>
      </c>
      <c r="D5" s="3" t="s">
        <v>39</v>
      </c>
      <c r="E5" s="3" t="s">
        <v>40</v>
      </c>
      <c r="F5" s="3" t="s">
        <v>29</v>
      </c>
      <c r="G5" s="9" t="s">
        <v>9</v>
      </c>
      <c r="H5" s="9" t="s">
        <v>51</v>
      </c>
      <c r="I5" s="9" t="s">
        <v>7</v>
      </c>
      <c r="J5" s="44" t="s">
        <v>52</v>
      </c>
      <c r="K5" s="44" t="s">
        <v>7</v>
      </c>
    </row>
    <row r="6" spans="1:11" ht="34.9" customHeight="1" x14ac:dyDescent="0.25">
      <c r="A6" s="368" t="s">
        <v>31</v>
      </c>
      <c r="B6" s="367" t="s">
        <v>5</v>
      </c>
      <c r="C6" s="372" t="s">
        <v>10</v>
      </c>
      <c r="D6" s="10"/>
      <c r="E6" s="374">
        <v>4887</v>
      </c>
      <c r="F6" s="369">
        <v>45402</v>
      </c>
      <c r="G6" s="2" t="s">
        <v>11</v>
      </c>
      <c r="H6" s="21">
        <v>5730</v>
      </c>
      <c r="I6" s="22"/>
      <c r="J6" s="21"/>
      <c r="K6" s="22"/>
    </row>
    <row r="7" spans="1:11" ht="34.9" customHeight="1" x14ac:dyDescent="0.25">
      <c r="A7" s="368"/>
      <c r="B7" s="367"/>
      <c r="C7" s="373"/>
      <c r="D7" s="10"/>
      <c r="E7" s="375"/>
      <c r="F7" s="370"/>
      <c r="G7" s="2" t="s">
        <v>12</v>
      </c>
      <c r="H7" s="21">
        <v>7518</v>
      </c>
      <c r="I7" s="22"/>
      <c r="J7" s="21"/>
      <c r="K7" s="22"/>
    </row>
    <row r="8" spans="1:11" ht="34.9" customHeight="1" x14ac:dyDescent="0.25">
      <c r="A8" s="368"/>
      <c r="B8" s="367"/>
      <c r="C8" s="373"/>
      <c r="D8" s="10"/>
      <c r="E8" s="375"/>
      <c r="F8" s="370"/>
      <c r="G8" s="2" t="s">
        <v>17</v>
      </c>
      <c r="H8" s="21">
        <v>5155.8</v>
      </c>
      <c r="I8" s="22"/>
      <c r="J8" s="21"/>
      <c r="K8" s="22"/>
    </row>
    <row r="9" spans="1:11" ht="34.9" customHeight="1" x14ac:dyDescent="0.25">
      <c r="A9" s="368"/>
      <c r="B9" s="367"/>
      <c r="C9" s="373"/>
      <c r="D9" s="10"/>
      <c r="E9" s="375"/>
      <c r="F9" s="370"/>
      <c r="G9" s="2" t="s">
        <v>13</v>
      </c>
      <c r="H9" s="21">
        <v>9772.2000000000007</v>
      </c>
      <c r="I9" s="22"/>
      <c r="J9" s="21"/>
      <c r="K9" s="22"/>
    </row>
    <row r="10" spans="1:11" ht="34.9" customHeight="1" x14ac:dyDescent="0.25">
      <c r="A10" s="368"/>
      <c r="B10" s="367"/>
      <c r="C10" s="373"/>
      <c r="D10" s="10"/>
      <c r="E10" s="375"/>
      <c r="F10" s="370"/>
      <c r="G10" s="2" t="s">
        <v>14</v>
      </c>
      <c r="H10" s="21">
        <v>5742</v>
      </c>
      <c r="I10" s="22"/>
      <c r="J10" s="21"/>
      <c r="K10" s="22"/>
    </row>
    <row r="11" spans="1:11" ht="34.9" customHeight="1" x14ac:dyDescent="0.25">
      <c r="A11" s="368"/>
      <c r="B11" s="367"/>
      <c r="C11" s="373"/>
      <c r="D11" s="10"/>
      <c r="E11" s="375"/>
      <c r="F11" s="370"/>
      <c r="G11" s="2" t="s">
        <v>15</v>
      </c>
      <c r="H11" s="21">
        <v>3828</v>
      </c>
      <c r="I11" s="22"/>
      <c r="J11" s="21"/>
      <c r="K11" s="22"/>
    </row>
    <row r="12" spans="1:11" ht="34.9" customHeight="1" x14ac:dyDescent="0.25">
      <c r="A12" s="368"/>
      <c r="B12" s="367"/>
      <c r="C12" s="373"/>
      <c r="D12" s="10"/>
      <c r="E12" s="375"/>
      <c r="F12" s="371"/>
      <c r="G12" s="2" t="s">
        <v>16</v>
      </c>
      <c r="H12" s="21">
        <v>3828</v>
      </c>
      <c r="I12" s="23">
        <f>SUM(H6:H12)</f>
        <v>41574</v>
      </c>
      <c r="J12" s="21"/>
      <c r="K12" s="23">
        <f>SUM(J6:J12)</f>
        <v>0</v>
      </c>
    </row>
    <row r="13" spans="1:11" ht="14.25" customHeight="1" x14ac:dyDescent="0.25">
      <c r="A13" s="368"/>
      <c r="B13" s="30"/>
      <c r="C13" s="26"/>
      <c r="D13" s="26"/>
      <c r="E13" s="27"/>
      <c r="F13" s="19"/>
      <c r="G13" s="27"/>
      <c r="H13" s="24"/>
      <c r="I13" s="28"/>
      <c r="J13" s="24"/>
      <c r="K13" s="28"/>
    </row>
    <row r="14" spans="1:11" ht="34.9" customHeight="1" x14ac:dyDescent="0.25">
      <c r="A14" s="368"/>
      <c r="B14" s="12" t="s">
        <v>46</v>
      </c>
      <c r="C14" s="13" t="s">
        <v>47</v>
      </c>
      <c r="D14" s="13"/>
      <c r="E14" s="2" t="s">
        <v>48</v>
      </c>
      <c r="F14" s="20">
        <v>2004</v>
      </c>
      <c r="G14" s="2">
        <v>781</v>
      </c>
      <c r="H14" s="7">
        <v>2004</v>
      </c>
      <c r="I14" s="8">
        <f>+H14</f>
        <v>2004</v>
      </c>
      <c r="J14" s="7"/>
      <c r="K14" s="8">
        <f>+J14</f>
        <v>0</v>
      </c>
    </row>
    <row r="15" spans="1:11" ht="14.25" customHeight="1" x14ac:dyDescent="0.25">
      <c r="A15" s="368"/>
      <c r="B15" s="30"/>
      <c r="C15" s="26"/>
      <c r="D15" s="26"/>
      <c r="E15" s="27"/>
      <c r="F15" s="19"/>
      <c r="G15" s="27"/>
      <c r="H15" s="24"/>
      <c r="I15" s="28"/>
      <c r="J15" s="24"/>
      <c r="K15" s="28"/>
    </row>
    <row r="16" spans="1:11" ht="34.9" customHeight="1" x14ac:dyDescent="0.25">
      <c r="A16" s="368"/>
      <c r="B16" s="12" t="s">
        <v>30</v>
      </c>
      <c r="C16" s="13" t="s">
        <v>34</v>
      </c>
      <c r="D16" s="13"/>
      <c r="E16" s="2" t="s">
        <v>57</v>
      </c>
      <c r="F16" s="20">
        <v>6604.8</v>
      </c>
      <c r="G16" s="2">
        <v>2848</v>
      </c>
      <c r="H16" s="7">
        <v>5080.75</v>
      </c>
      <c r="I16" s="8">
        <f>H16</f>
        <v>5080.75</v>
      </c>
      <c r="J16" s="7"/>
      <c r="K16" s="8">
        <f>J16</f>
        <v>0</v>
      </c>
    </row>
    <row r="17" spans="1:11" ht="19.5" customHeight="1" x14ac:dyDescent="0.25">
      <c r="A17" s="29"/>
      <c r="B17" s="30"/>
      <c r="C17" s="31"/>
      <c r="D17" s="31"/>
      <c r="E17" s="27"/>
      <c r="F17" s="20"/>
      <c r="G17" s="27"/>
      <c r="H17" s="19"/>
      <c r="I17" s="32"/>
      <c r="J17" s="19"/>
      <c r="K17" s="32"/>
    </row>
    <row r="18" spans="1:11" ht="34.9" customHeight="1" x14ac:dyDescent="0.25">
      <c r="A18" s="385" t="s">
        <v>6</v>
      </c>
      <c r="B18" s="388" t="s">
        <v>8</v>
      </c>
      <c r="C18" s="13" t="s">
        <v>34</v>
      </c>
      <c r="D18" s="13"/>
      <c r="E18" s="2" t="s">
        <v>55</v>
      </c>
      <c r="F18" s="20">
        <v>2696.65</v>
      </c>
      <c r="G18" s="2">
        <v>2780</v>
      </c>
      <c r="H18" s="22">
        <v>2696.65</v>
      </c>
      <c r="I18" s="8">
        <f>H18</f>
        <v>2696.65</v>
      </c>
      <c r="J18" s="22"/>
      <c r="K18" s="8">
        <f>J18</f>
        <v>0</v>
      </c>
    </row>
    <row r="19" spans="1:11" ht="34.9" customHeight="1" x14ac:dyDescent="0.25">
      <c r="A19" s="386"/>
      <c r="B19" s="389"/>
      <c r="D19" s="13" t="s">
        <v>50</v>
      </c>
      <c r="E19" s="52" t="s">
        <v>56</v>
      </c>
      <c r="F19" s="20">
        <v>6000</v>
      </c>
      <c r="G19" s="2">
        <v>2781</v>
      </c>
      <c r="H19" s="22"/>
      <c r="I19" s="8"/>
      <c r="J19" s="22">
        <v>6000</v>
      </c>
      <c r="K19" s="8">
        <f>J19</f>
        <v>6000</v>
      </c>
    </row>
    <row r="20" spans="1:11" ht="14.25" customHeight="1" x14ac:dyDescent="0.25">
      <c r="A20" s="386"/>
      <c r="B20" s="30"/>
      <c r="C20" s="31"/>
      <c r="D20" s="31"/>
      <c r="E20" s="27"/>
      <c r="F20" s="20"/>
      <c r="G20" s="27"/>
      <c r="H20" s="33"/>
      <c r="I20" s="32"/>
      <c r="J20" s="33"/>
      <c r="K20" s="32"/>
    </row>
    <row r="21" spans="1:11" ht="34.9" customHeight="1" x14ac:dyDescent="0.25">
      <c r="A21" s="386"/>
      <c r="B21" s="367" t="s">
        <v>32</v>
      </c>
      <c r="C21" s="390" t="s">
        <v>34</v>
      </c>
      <c r="D21" s="13"/>
      <c r="E21" s="374" t="s">
        <v>66</v>
      </c>
      <c r="F21" s="20">
        <v>942874.06</v>
      </c>
      <c r="G21" s="2">
        <v>786</v>
      </c>
      <c r="H21" s="54">
        <v>20390</v>
      </c>
      <c r="I21" s="21"/>
      <c r="J21" s="6"/>
      <c r="K21" s="21"/>
    </row>
    <row r="22" spans="1:11" ht="34.9" customHeight="1" x14ac:dyDescent="0.25">
      <c r="A22" s="386"/>
      <c r="B22" s="367"/>
      <c r="C22" s="391"/>
      <c r="D22" s="10"/>
      <c r="E22" s="375"/>
      <c r="F22" s="20"/>
      <c r="G22" s="2">
        <v>787</v>
      </c>
      <c r="H22" s="54">
        <v>148843.94</v>
      </c>
      <c r="I22" s="21"/>
      <c r="J22" s="6"/>
      <c r="K22" s="21"/>
    </row>
    <row r="23" spans="1:11" ht="34.9" customHeight="1" x14ac:dyDescent="0.25">
      <c r="A23" s="386"/>
      <c r="B23" s="367"/>
      <c r="C23" s="391"/>
      <c r="D23" s="10"/>
      <c r="E23" s="375"/>
      <c r="F23" s="20"/>
      <c r="G23" s="2">
        <v>819</v>
      </c>
      <c r="H23" s="6">
        <v>80218.5</v>
      </c>
      <c r="I23" s="21"/>
      <c r="J23" s="6"/>
      <c r="K23" s="21"/>
    </row>
    <row r="24" spans="1:11" ht="34.9" customHeight="1" x14ac:dyDescent="0.25">
      <c r="A24" s="386"/>
      <c r="B24" s="367"/>
      <c r="C24" s="391"/>
      <c r="D24" s="10"/>
      <c r="E24" s="375"/>
      <c r="F24" s="20"/>
      <c r="G24" s="2">
        <v>820</v>
      </c>
      <c r="H24" s="54">
        <v>7758.37</v>
      </c>
      <c r="I24" s="21"/>
      <c r="J24" s="6"/>
      <c r="K24" s="21"/>
    </row>
    <row r="25" spans="1:11" ht="34.9" customHeight="1" x14ac:dyDescent="0.25">
      <c r="A25" s="386"/>
      <c r="B25" s="367"/>
      <c r="C25" s="391"/>
      <c r="D25" s="10"/>
      <c r="E25" s="375"/>
      <c r="F25" s="20"/>
      <c r="G25" s="2">
        <v>821</v>
      </c>
      <c r="H25" s="54">
        <v>2094</v>
      </c>
      <c r="I25" s="21"/>
      <c r="J25" s="6"/>
      <c r="K25" s="21"/>
    </row>
    <row r="26" spans="1:11" ht="34.9" customHeight="1" x14ac:dyDescent="0.25">
      <c r="A26" s="386"/>
      <c r="B26" s="367"/>
      <c r="C26" s="391"/>
      <c r="D26" s="10"/>
      <c r="E26" s="375"/>
      <c r="F26" s="20"/>
      <c r="G26" s="2">
        <v>16</v>
      </c>
      <c r="H26" s="6">
        <v>678.05</v>
      </c>
      <c r="I26" s="21"/>
      <c r="J26" s="6"/>
      <c r="K26" s="21"/>
    </row>
    <row r="27" spans="1:11" ht="34.9" customHeight="1" x14ac:dyDescent="0.25">
      <c r="A27" s="386"/>
      <c r="B27" s="367"/>
      <c r="C27" s="391"/>
      <c r="D27" s="10"/>
      <c r="E27" s="375"/>
      <c r="F27" s="20"/>
      <c r="G27" s="2">
        <v>17</v>
      </c>
      <c r="H27" s="54">
        <v>39829.4</v>
      </c>
      <c r="I27" s="21"/>
      <c r="J27" s="6"/>
      <c r="K27" s="21"/>
    </row>
    <row r="28" spans="1:11" ht="34.9" customHeight="1" x14ac:dyDescent="0.25">
      <c r="A28" s="386"/>
      <c r="B28" s="367"/>
      <c r="C28" s="391"/>
      <c r="D28" s="10"/>
      <c r="E28" s="375"/>
      <c r="F28" s="20"/>
      <c r="G28" s="2">
        <v>18</v>
      </c>
      <c r="H28" s="6">
        <v>34512.76</v>
      </c>
      <c r="I28" s="21"/>
      <c r="J28" s="6"/>
      <c r="K28" s="21"/>
    </row>
    <row r="29" spans="1:11" ht="34.9" customHeight="1" x14ac:dyDescent="0.25">
      <c r="A29" s="386"/>
      <c r="B29" s="367"/>
      <c r="C29" s="391"/>
      <c r="D29" s="10"/>
      <c r="E29" s="375"/>
      <c r="F29" s="20"/>
      <c r="G29" s="2">
        <v>19</v>
      </c>
      <c r="H29" s="6">
        <v>108092.27</v>
      </c>
      <c r="I29" s="21"/>
      <c r="J29" s="6"/>
      <c r="K29" s="21"/>
    </row>
    <row r="30" spans="1:11" ht="34.9" customHeight="1" x14ac:dyDescent="0.25">
      <c r="A30" s="386"/>
      <c r="B30" s="367"/>
      <c r="C30" s="391"/>
      <c r="D30" s="10"/>
      <c r="E30" s="375"/>
      <c r="F30" s="20"/>
      <c r="G30" s="2">
        <v>76</v>
      </c>
      <c r="H30" s="6">
        <v>214470.76</v>
      </c>
      <c r="I30" s="21"/>
      <c r="J30" s="6"/>
      <c r="K30" s="21"/>
    </row>
    <row r="31" spans="1:11" ht="34.9" customHeight="1" x14ac:dyDescent="0.25">
      <c r="A31" s="386"/>
      <c r="B31" s="367"/>
      <c r="C31" s="391"/>
      <c r="D31" s="10"/>
      <c r="E31" s="375"/>
      <c r="F31" s="20"/>
      <c r="G31" s="2">
        <v>180</v>
      </c>
      <c r="H31" s="54">
        <v>4348.22</v>
      </c>
      <c r="I31" s="21"/>
      <c r="J31" s="6"/>
      <c r="K31" s="21"/>
    </row>
    <row r="32" spans="1:11" ht="34.9" customHeight="1" x14ac:dyDescent="0.25">
      <c r="A32" s="386"/>
      <c r="B32" s="367"/>
      <c r="C32" s="391"/>
      <c r="D32" s="10"/>
      <c r="E32" s="375"/>
      <c r="F32" s="20"/>
      <c r="G32" s="2">
        <v>179</v>
      </c>
      <c r="H32" s="6">
        <v>15313.52</v>
      </c>
      <c r="I32" s="21"/>
      <c r="J32" s="6"/>
      <c r="K32" s="21"/>
    </row>
    <row r="33" spans="1:11" ht="34.9" customHeight="1" x14ac:dyDescent="0.25">
      <c r="A33" s="386"/>
      <c r="B33" s="367"/>
      <c r="C33" s="391"/>
      <c r="D33" s="10"/>
      <c r="E33" s="375"/>
      <c r="F33" s="20"/>
      <c r="G33" s="2">
        <v>177</v>
      </c>
      <c r="H33" s="6">
        <v>7748.74</v>
      </c>
      <c r="I33" s="21"/>
      <c r="J33" s="6"/>
      <c r="K33" s="21"/>
    </row>
    <row r="34" spans="1:11" ht="34.9" customHeight="1" x14ac:dyDescent="0.25">
      <c r="A34" s="386"/>
      <c r="B34" s="367"/>
      <c r="C34" s="391"/>
      <c r="D34" s="10"/>
      <c r="E34" s="375"/>
      <c r="F34" s="20"/>
      <c r="G34" s="2">
        <v>175</v>
      </c>
      <c r="H34" s="6">
        <v>4531.79</v>
      </c>
      <c r="I34" s="21"/>
      <c r="J34" s="6"/>
      <c r="K34" s="21"/>
    </row>
    <row r="35" spans="1:11" ht="34.9" customHeight="1" x14ac:dyDescent="0.25">
      <c r="A35" s="386"/>
      <c r="B35" s="367"/>
      <c r="C35" s="391"/>
      <c r="D35" s="10"/>
      <c r="E35" s="375"/>
      <c r="F35" s="20"/>
      <c r="G35" s="2">
        <v>178</v>
      </c>
      <c r="H35" s="6">
        <v>50060.5</v>
      </c>
      <c r="I35" s="21"/>
      <c r="J35" s="6"/>
      <c r="K35" s="21"/>
    </row>
    <row r="36" spans="1:11" ht="34.9" customHeight="1" x14ac:dyDescent="0.25">
      <c r="A36" s="386"/>
      <c r="B36" s="367"/>
      <c r="C36" s="391"/>
      <c r="D36" s="10"/>
      <c r="E36" s="375"/>
      <c r="F36" s="20"/>
      <c r="G36" s="2">
        <v>174</v>
      </c>
      <c r="H36" s="6">
        <v>7327.04</v>
      </c>
      <c r="I36" s="21"/>
      <c r="J36" s="6"/>
      <c r="K36" s="21"/>
    </row>
    <row r="37" spans="1:11" ht="34.9" customHeight="1" x14ac:dyDescent="0.25">
      <c r="A37" s="386"/>
      <c r="B37" s="367"/>
      <c r="C37" s="391"/>
      <c r="D37" s="10"/>
      <c r="E37" s="375"/>
      <c r="F37" s="20"/>
      <c r="G37" s="2">
        <v>176</v>
      </c>
      <c r="H37" s="54">
        <v>5512.32</v>
      </c>
      <c r="I37" s="21"/>
      <c r="J37" s="6"/>
      <c r="K37" s="21"/>
    </row>
    <row r="38" spans="1:11" ht="34.9" customHeight="1" x14ac:dyDescent="0.25">
      <c r="A38" s="386"/>
      <c r="B38" s="367"/>
      <c r="C38" s="391"/>
      <c r="D38" s="10"/>
      <c r="E38" s="375"/>
      <c r="F38" s="20"/>
      <c r="G38" s="52">
        <v>177</v>
      </c>
      <c r="H38" s="55">
        <v>7748.74</v>
      </c>
      <c r="I38" s="21"/>
      <c r="J38" s="7"/>
      <c r="K38" s="21"/>
    </row>
    <row r="39" spans="1:11" ht="34.9" customHeight="1" x14ac:dyDescent="0.25">
      <c r="A39" s="386"/>
      <c r="B39" s="367"/>
      <c r="C39" s="391"/>
      <c r="D39" s="10"/>
      <c r="E39" s="375"/>
      <c r="F39" s="20"/>
      <c r="G39" s="52">
        <v>178</v>
      </c>
      <c r="H39" s="55">
        <v>50060.5</v>
      </c>
      <c r="I39" s="21"/>
      <c r="J39" s="7"/>
      <c r="K39" s="21"/>
    </row>
    <row r="40" spans="1:11" ht="34.9" customHeight="1" x14ac:dyDescent="0.25">
      <c r="A40" s="386"/>
      <c r="B40" s="367"/>
      <c r="C40" s="391"/>
      <c r="D40" s="10"/>
      <c r="E40" s="375"/>
      <c r="F40" s="20"/>
      <c r="G40" s="52">
        <v>179</v>
      </c>
      <c r="H40" s="55">
        <v>15313.52</v>
      </c>
      <c r="I40" s="21"/>
      <c r="J40" s="7"/>
      <c r="K40" s="21"/>
    </row>
    <row r="41" spans="1:11" ht="34.9" customHeight="1" x14ac:dyDescent="0.25">
      <c r="A41" s="386"/>
      <c r="B41" s="367"/>
      <c r="C41" s="391"/>
      <c r="D41" s="10"/>
      <c r="E41" s="375"/>
      <c r="F41" s="20"/>
      <c r="G41" s="52">
        <v>180</v>
      </c>
      <c r="H41" s="55">
        <v>4348.22</v>
      </c>
      <c r="I41" s="21"/>
      <c r="J41" s="7"/>
      <c r="K41" s="21"/>
    </row>
    <row r="42" spans="1:11" ht="34.9" customHeight="1" x14ac:dyDescent="0.25">
      <c r="A42" s="386"/>
      <c r="B42" s="367"/>
      <c r="C42" s="391"/>
      <c r="D42" s="10"/>
      <c r="E42" s="375"/>
      <c r="F42" s="20"/>
      <c r="G42" s="2">
        <v>223</v>
      </c>
      <c r="H42" s="7">
        <v>1695.82</v>
      </c>
      <c r="I42" s="21"/>
      <c r="J42" s="7"/>
      <c r="K42" s="21"/>
    </row>
    <row r="43" spans="1:11" ht="34.9" customHeight="1" x14ac:dyDescent="0.25">
      <c r="A43" s="386"/>
      <c r="B43" s="367"/>
      <c r="C43" s="391"/>
      <c r="D43" s="10"/>
      <c r="E43" s="375"/>
      <c r="F43" s="20"/>
      <c r="G43" s="2">
        <v>225</v>
      </c>
      <c r="H43" s="7">
        <v>2892.49</v>
      </c>
      <c r="I43" s="21"/>
      <c r="J43" s="7"/>
      <c r="K43" s="21"/>
    </row>
    <row r="44" spans="1:11" ht="34.9" customHeight="1" x14ac:dyDescent="0.25">
      <c r="A44" s="386"/>
      <c r="B44" s="367"/>
      <c r="C44" s="391"/>
      <c r="D44" s="13"/>
      <c r="E44" s="375"/>
      <c r="F44" s="24"/>
      <c r="G44" s="5">
        <v>224</v>
      </c>
      <c r="H44" s="7">
        <v>16154.39</v>
      </c>
      <c r="I44" s="21"/>
      <c r="J44" s="7"/>
      <c r="K44" s="21"/>
    </row>
    <row r="45" spans="1:11" ht="34.9" customHeight="1" x14ac:dyDescent="0.25">
      <c r="A45" s="386"/>
      <c r="B45" s="367"/>
      <c r="C45" s="391"/>
      <c r="D45" s="13"/>
      <c r="E45" s="375"/>
      <c r="F45" s="24"/>
      <c r="G45" s="5">
        <v>226</v>
      </c>
      <c r="H45" s="7">
        <v>4082.78</v>
      </c>
      <c r="I45" s="21"/>
      <c r="J45" s="7"/>
      <c r="K45" s="21"/>
    </row>
    <row r="46" spans="1:11" ht="34.9" customHeight="1" x14ac:dyDescent="0.25">
      <c r="A46" s="386"/>
      <c r="B46" s="367"/>
      <c r="C46" s="391"/>
      <c r="D46" s="13"/>
      <c r="E46" s="375"/>
      <c r="F46" s="24"/>
      <c r="G46" s="5">
        <v>227</v>
      </c>
      <c r="H46" s="7">
        <v>5022.1499999999996</v>
      </c>
      <c r="I46" s="21"/>
      <c r="J46" s="7"/>
      <c r="K46" s="21"/>
    </row>
    <row r="47" spans="1:11" ht="34.9" customHeight="1" x14ac:dyDescent="0.25">
      <c r="A47" s="386"/>
      <c r="B47" s="367"/>
      <c r="C47" s="391"/>
      <c r="D47" s="13"/>
      <c r="E47" s="376"/>
      <c r="F47" s="24"/>
      <c r="G47" s="5">
        <v>228</v>
      </c>
      <c r="H47" s="7">
        <v>40931.910000000003</v>
      </c>
      <c r="I47" s="38">
        <f>SUM(H21:H47)</f>
        <v>899980.70000000007</v>
      </c>
      <c r="J47" s="7"/>
      <c r="K47" s="38">
        <f>SUM(J21:J47)</f>
        <v>0</v>
      </c>
    </row>
    <row r="48" spans="1:11" ht="34.9" customHeight="1" x14ac:dyDescent="0.25">
      <c r="A48" s="386"/>
      <c r="B48" s="12"/>
      <c r="C48" s="392"/>
      <c r="D48" s="13"/>
      <c r="E48" s="34" t="s">
        <v>65</v>
      </c>
      <c r="F48" s="24"/>
      <c r="G48" s="5"/>
      <c r="H48" s="7">
        <v>15983.05</v>
      </c>
      <c r="I48" s="38">
        <f>H48</f>
        <v>15983.05</v>
      </c>
      <c r="J48" s="7"/>
      <c r="K48" s="38">
        <f>SUM(J22:J48)</f>
        <v>0</v>
      </c>
    </row>
    <row r="49" spans="1:11" ht="20.25" customHeight="1" x14ac:dyDescent="0.25">
      <c r="A49" s="386"/>
      <c r="B49" s="30"/>
      <c r="C49" s="35"/>
      <c r="D49" s="31"/>
      <c r="E49" s="36"/>
      <c r="F49" s="24"/>
      <c r="G49" s="37"/>
      <c r="H49" s="19"/>
      <c r="I49" s="24"/>
      <c r="J49" s="19"/>
      <c r="K49" s="24"/>
    </row>
    <row r="50" spans="1:11" ht="30" customHeight="1" x14ac:dyDescent="0.25">
      <c r="A50" s="386"/>
      <c r="B50" s="18" t="s">
        <v>59</v>
      </c>
      <c r="D50" s="17" t="s">
        <v>62</v>
      </c>
      <c r="E50" s="53" t="s">
        <v>63</v>
      </c>
      <c r="F50" s="24">
        <v>364.4</v>
      </c>
      <c r="G50" s="46">
        <v>238</v>
      </c>
      <c r="H50" s="21"/>
      <c r="I50" s="23"/>
      <c r="J50" s="21">
        <v>364.4</v>
      </c>
      <c r="K50" s="23">
        <f>J50</f>
        <v>364.4</v>
      </c>
    </row>
    <row r="51" spans="1:11" ht="20.25" customHeight="1" x14ac:dyDescent="0.25">
      <c r="A51" s="386"/>
      <c r="B51" s="30"/>
      <c r="C51" s="31"/>
      <c r="D51" s="31"/>
      <c r="E51" s="36"/>
      <c r="F51" s="24"/>
      <c r="G51" s="37"/>
      <c r="H51" s="19"/>
      <c r="I51" s="24"/>
      <c r="J51" s="19"/>
      <c r="K51" s="24"/>
    </row>
    <row r="52" spans="1:11" ht="30" customHeight="1" x14ac:dyDescent="0.25">
      <c r="A52" s="386"/>
      <c r="B52" s="18" t="s">
        <v>59</v>
      </c>
      <c r="D52" s="17" t="s">
        <v>18</v>
      </c>
      <c r="E52" s="53" t="s">
        <v>60</v>
      </c>
      <c r="F52" s="24">
        <v>85000</v>
      </c>
      <c r="G52" s="46" t="s">
        <v>61</v>
      </c>
      <c r="H52" s="21"/>
      <c r="I52" s="23"/>
      <c r="J52" s="21">
        <v>65707.45</v>
      </c>
      <c r="K52" s="23">
        <f>J52</f>
        <v>65707.45</v>
      </c>
    </row>
    <row r="53" spans="1:11" ht="15" customHeight="1" x14ac:dyDescent="0.25">
      <c r="A53" s="386"/>
      <c r="B53" s="40"/>
      <c r="C53" s="41"/>
      <c r="D53" s="41"/>
      <c r="E53" s="47"/>
      <c r="F53" s="24"/>
      <c r="G53" s="37"/>
      <c r="H53" s="24"/>
      <c r="I53" s="33"/>
      <c r="J53" s="24"/>
      <c r="K53" s="33"/>
    </row>
    <row r="54" spans="1:11" ht="51.75" customHeight="1" x14ac:dyDescent="0.25">
      <c r="A54" s="386"/>
      <c r="B54" s="11" t="s">
        <v>33</v>
      </c>
      <c r="C54" s="13" t="s">
        <v>34</v>
      </c>
      <c r="D54" s="13"/>
      <c r="E54" s="5" t="s">
        <v>64</v>
      </c>
      <c r="F54" s="24">
        <v>129155.87</v>
      </c>
      <c r="G54" s="5">
        <v>2025</v>
      </c>
      <c r="H54" s="21">
        <v>48146.21</v>
      </c>
      <c r="I54" s="22">
        <f>H54</f>
        <v>48146.21</v>
      </c>
      <c r="J54" s="21"/>
      <c r="K54" s="22">
        <f>J54</f>
        <v>0</v>
      </c>
    </row>
    <row r="55" spans="1:11" ht="15" customHeight="1" x14ac:dyDescent="0.25">
      <c r="A55" s="386"/>
      <c r="B55" s="39"/>
      <c r="C55" s="31"/>
      <c r="D55" s="31"/>
      <c r="E55" s="48"/>
      <c r="F55" s="24"/>
      <c r="G55" s="37"/>
      <c r="H55" s="24"/>
      <c r="I55" s="33"/>
      <c r="J55" s="24"/>
      <c r="K55" s="33"/>
    </row>
    <row r="56" spans="1:11" ht="30" customHeight="1" x14ac:dyDescent="0.25">
      <c r="A56" s="386"/>
      <c r="B56" s="367" t="s">
        <v>35</v>
      </c>
      <c r="C56" s="13" t="s">
        <v>21</v>
      </c>
      <c r="D56" s="13"/>
      <c r="E56" s="5" t="s">
        <v>22</v>
      </c>
      <c r="F56" s="24">
        <v>51442.32</v>
      </c>
      <c r="G56" s="5" t="s">
        <v>45</v>
      </c>
      <c r="H56" s="21">
        <v>51442.32</v>
      </c>
      <c r="I56" s="22"/>
      <c r="J56" s="21"/>
      <c r="K56" s="22"/>
    </row>
    <row r="57" spans="1:11" ht="30" customHeight="1" x14ac:dyDescent="0.25">
      <c r="A57" s="386"/>
      <c r="B57" s="367"/>
      <c r="C57" s="13" t="s">
        <v>19</v>
      </c>
      <c r="D57" s="13"/>
      <c r="E57" s="5" t="s">
        <v>20</v>
      </c>
      <c r="F57" s="24">
        <v>24090</v>
      </c>
      <c r="G57" s="5">
        <v>1470</v>
      </c>
      <c r="H57" s="21">
        <v>24090</v>
      </c>
      <c r="I57" s="23">
        <f>H56+H57</f>
        <v>75532.320000000007</v>
      </c>
      <c r="J57" s="21"/>
      <c r="K57" s="23">
        <f>J56+J57</f>
        <v>0</v>
      </c>
    </row>
    <row r="58" spans="1:11" ht="15" customHeight="1" x14ac:dyDescent="0.25">
      <c r="A58" s="386"/>
      <c r="B58" s="30"/>
      <c r="C58" s="31"/>
      <c r="D58" s="31"/>
      <c r="E58" s="37"/>
      <c r="F58" s="24"/>
      <c r="G58" s="37"/>
      <c r="H58" s="24"/>
      <c r="I58" s="33"/>
      <c r="J58" s="24"/>
      <c r="K58" s="33"/>
    </row>
    <row r="59" spans="1:11" ht="30" customHeight="1" x14ac:dyDescent="0.25">
      <c r="A59" s="386"/>
      <c r="B59" s="14" t="s">
        <v>36</v>
      </c>
      <c r="C59" s="13" t="s">
        <v>24</v>
      </c>
      <c r="D59" s="13"/>
      <c r="E59" s="5"/>
      <c r="F59" s="24">
        <v>2508.84</v>
      </c>
      <c r="G59" s="5"/>
      <c r="H59" s="21"/>
      <c r="I59" s="22"/>
      <c r="J59" s="21"/>
      <c r="K59" s="22"/>
    </row>
    <row r="60" spans="1:11" ht="15" customHeight="1" x14ac:dyDescent="0.25">
      <c r="A60" s="386"/>
      <c r="B60" s="40"/>
      <c r="C60" s="41"/>
      <c r="D60" s="41"/>
      <c r="E60" s="37"/>
      <c r="F60" s="24"/>
      <c r="G60" s="37"/>
      <c r="H60" s="24"/>
      <c r="I60" s="33"/>
      <c r="J60" s="24"/>
      <c r="K60" s="33"/>
    </row>
    <row r="61" spans="1:11" ht="30" customHeight="1" x14ac:dyDescent="0.25">
      <c r="A61" s="386"/>
      <c r="B61" s="18" t="s">
        <v>37</v>
      </c>
      <c r="C61" s="17" t="s">
        <v>18</v>
      </c>
      <c r="D61" s="17"/>
      <c r="E61" s="5" t="s">
        <v>58</v>
      </c>
      <c r="F61" s="24">
        <v>136014</v>
      </c>
      <c r="G61" s="5"/>
      <c r="H61" s="21"/>
      <c r="I61" s="22">
        <f>H61</f>
        <v>0</v>
      </c>
      <c r="J61" s="21"/>
      <c r="K61" s="22">
        <f>J61</f>
        <v>0</v>
      </c>
    </row>
    <row r="62" spans="1:11" ht="15" customHeight="1" x14ac:dyDescent="0.25">
      <c r="A62" s="386"/>
      <c r="B62" s="40"/>
      <c r="C62" s="41"/>
      <c r="D62" s="41"/>
      <c r="E62" s="47"/>
      <c r="F62" s="24"/>
      <c r="G62" s="37"/>
      <c r="H62" s="24"/>
      <c r="I62" s="33"/>
      <c r="J62" s="24"/>
      <c r="K62" s="33"/>
    </row>
    <row r="63" spans="1:11" ht="42.75" customHeight="1" x14ac:dyDescent="0.25">
      <c r="A63" s="386"/>
      <c r="B63" s="367" t="s">
        <v>38</v>
      </c>
      <c r="C63" s="16" t="s">
        <v>42</v>
      </c>
      <c r="D63" s="16"/>
      <c r="E63" s="49" t="s">
        <v>49</v>
      </c>
      <c r="F63" s="24">
        <f>2677.8</f>
        <v>2677.8</v>
      </c>
      <c r="G63" s="5" t="s">
        <v>23</v>
      </c>
      <c r="H63" s="21">
        <v>1874.46</v>
      </c>
      <c r="I63" s="22"/>
      <c r="J63" s="21"/>
      <c r="K63" s="22"/>
    </row>
    <row r="64" spans="1:11" ht="25.5" x14ac:dyDescent="0.25">
      <c r="A64" s="387"/>
      <c r="B64" s="367"/>
      <c r="C64" s="16" t="s">
        <v>43</v>
      </c>
      <c r="D64" s="15"/>
      <c r="E64" s="50"/>
      <c r="F64" s="24">
        <f>14354.24</f>
        <v>14354.24</v>
      </c>
      <c r="G64" s="5"/>
      <c r="H64" s="21"/>
      <c r="I64" s="21">
        <f>H64+H63</f>
        <v>1874.46</v>
      </c>
      <c r="J64" s="21"/>
      <c r="K64" s="21">
        <f>J64+J63</f>
        <v>0</v>
      </c>
    </row>
    <row r="65" spans="1:11" ht="15.75" thickBot="1" x14ac:dyDescent="0.3">
      <c r="A65" s="1"/>
      <c r="B65" s="379" t="s">
        <v>25</v>
      </c>
      <c r="C65" s="379"/>
      <c r="D65" s="379"/>
      <c r="E65" s="379"/>
      <c r="F65" s="25">
        <f>SUM(F6:F64)</f>
        <v>1451188.9800000004</v>
      </c>
      <c r="G65" s="4"/>
      <c r="H65" s="45">
        <f>SUM(H6:H64)</f>
        <v>1092872.1399999999</v>
      </c>
      <c r="I65" s="45">
        <f>SUM(I6:I64)</f>
        <v>1092872.1400000001</v>
      </c>
      <c r="J65" s="45">
        <f>SUM(J6:J64)</f>
        <v>72071.849999999991</v>
      </c>
      <c r="K65" s="45">
        <f>SUM(K6:K64)</f>
        <v>72071.849999999991</v>
      </c>
    </row>
    <row r="66" spans="1:11" ht="15.75" thickBot="1" x14ac:dyDescent="0.3">
      <c r="H66" s="381" t="s">
        <v>53</v>
      </c>
      <c r="I66" s="382"/>
      <c r="J66" s="383" t="s">
        <v>54</v>
      </c>
      <c r="K66" s="384"/>
    </row>
    <row r="67" spans="1:11" x14ac:dyDescent="0.25">
      <c r="C67" t="s">
        <v>26</v>
      </c>
      <c r="D67" s="377" t="s">
        <v>27</v>
      </c>
      <c r="E67" s="377"/>
      <c r="F67" s="42">
        <v>45402</v>
      </c>
    </row>
    <row r="68" spans="1:11" ht="15.75" thickBot="1" x14ac:dyDescent="0.3">
      <c r="D68" s="378" t="s">
        <v>28</v>
      </c>
      <c r="E68" s="378"/>
      <c r="F68" s="42">
        <f>F65-F67</f>
        <v>1405786.9800000004</v>
      </c>
    </row>
    <row r="69" spans="1:11" ht="15.75" thickTop="1" x14ac:dyDescent="0.25">
      <c r="D69" s="380" t="s">
        <v>41</v>
      </c>
      <c r="E69" s="380"/>
      <c r="F69" s="43">
        <f>+F68+F67</f>
        <v>1451188.9800000004</v>
      </c>
    </row>
    <row r="71" spans="1:11" x14ac:dyDescent="0.25">
      <c r="C71" t="s">
        <v>44</v>
      </c>
    </row>
  </sheetData>
  <mergeCells count="20">
    <mergeCell ref="H66:I66"/>
    <mergeCell ref="J66:K66"/>
    <mergeCell ref="A18:A64"/>
    <mergeCell ref="B18:B19"/>
    <mergeCell ref="C21:C48"/>
    <mergeCell ref="D67:E67"/>
    <mergeCell ref="D68:E68"/>
    <mergeCell ref="B63:B64"/>
    <mergeCell ref="B65:E65"/>
    <mergeCell ref="D69:E69"/>
    <mergeCell ref="A2:G2"/>
    <mergeCell ref="A3:G3"/>
    <mergeCell ref="B6:B12"/>
    <mergeCell ref="A6:A16"/>
    <mergeCell ref="B56:B57"/>
    <mergeCell ref="B21:B47"/>
    <mergeCell ref="F6:F12"/>
    <mergeCell ref="C6:C12"/>
    <mergeCell ref="E6:E12"/>
    <mergeCell ref="E21:E47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F46F-E40F-4D5E-AE7B-562F178180C1}">
  <dimension ref="A2:R86"/>
  <sheetViews>
    <sheetView zoomScale="85" zoomScaleNormal="85" workbookViewId="0">
      <pane ySplit="5" topLeftCell="A46" activePane="bottomLeft" state="frozenSplit"/>
      <selection activeCell="D36" sqref="D36"/>
      <selection pane="bottomLeft" activeCell="D36" sqref="D36"/>
    </sheetView>
  </sheetViews>
  <sheetFormatPr baseColWidth="10" defaultRowHeight="15" x14ac:dyDescent="0.25"/>
  <cols>
    <col min="1" max="1" width="15.7109375" customWidth="1"/>
    <col min="2" max="2" width="24.140625" customWidth="1"/>
    <col min="3" max="3" width="31" bestFit="1" customWidth="1"/>
    <col min="4" max="4" width="25.7109375" customWidth="1"/>
    <col min="5" max="5" width="21.140625" customWidth="1"/>
    <col min="6" max="6" width="20.7109375" customWidth="1"/>
    <col min="7" max="10" width="13.140625" customWidth="1"/>
    <col min="11" max="11" width="22.5703125" customWidth="1"/>
    <col min="12" max="12" width="21.28515625" customWidth="1"/>
    <col min="13" max="15" width="22.5703125" customWidth="1"/>
    <col min="16" max="16" width="24.140625" customWidth="1"/>
    <col min="17" max="17" width="13.140625" bestFit="1" customWidth="1"/>
  </cols>
  <sheetData>
    <row r="2" spans="1:16" ht="20.25" x14ac:dyDescent="0.3">
      <c r="A2" s="366" t="s">
        <v>101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</row>
    <row r="3" spans="1:16" ht="20.25" x14ac:dyDescent="0.3">
      <c r="A3" s="366" t="s">
        <v>102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6"/>
    </row>
    <row r="5" spans="1:16" ht="66.75" customHeight="1" x14ac:dyDescent="0.25">
      <c r="A5" s="85" t="s">
        <v>0</v>
      </c>
      <c r="B5" s="3" t="s">
        <v>3</v>
      </c>
      <c r="C5" s="3" t="s">
        <v>4</v>
      </c>
      <c r="D5" s="3" t="s">
        <v>39</v>
      </c>
      <c r="E5" s="111" t="s">
        <v>40</v>
      </c>
      <c r="F5" s="71" t="s">
        <v>29</v>
      </c>
      <c r="G5" s="9" t="s">
        <v>68</v>
      </c>
      <c r="H5" s="9" t="s">
        <v>67</v>
      </c>
      <c r="I5" s="65" t="s">
        <v>74</v>
      </c>
      <c r="J5" s="65" t="s">
        <v>75</v>
      </c>
      <c r="K5" s="9" t="s">
        <v>77</v>
      </c>
      <c r="L5" s="66" t="s">
        <v>52</v>
      </c>
      <c r="M5" s="70" t="s">
        <v>78</v>
      </c>
      <c r="N5" s="68" t="s">
        <v>76</v>
      </c>
      <c r="O5" s="68" t="s">
        <v>79</v>
      </c>
      <c r="P5" s="70" t="s">
        <v>81</v>
      </c>
    </row>
    <row r="6" spans="1:16" ht="34.9" customHeight="1" x14ac:dyDescent="0.25">
      <c r="A6" s="407" t="s">
        <v>31</v>
      </c>
      <c r="B6" s="367" t="s">
        <v>82</v>
      </c>
      <c r="C6" s="395" t="s">
        <v>83</v>
      </c>
      <c r="D6" s="395" t="s">
        <v>84</v>
      </c>
      <c r="E6" s="394" t="s">
        <v>132</v>
      </c>
      <c r="F6" s="410">
        <v>46471.3</v>
      </c>
      <c r="G6" s="2" t="s">
        <v>11</v>
      </c>
      <c r="H6" s="2"/>
      <c r="I6" s="67">
        <v>10385.5</v>
      </c>
      <c r="J6" s="2"/>
      <c r="K6" s="21">
        <f>I6*1.2</f>
        <v>12462.6</v>
      </c>
      <c r="L6" s="21"/>
      <c r="M6" s="21">
        <f>K6*1.2</f>
        <v>14955.119999999999</v>
      </c>
      <c r="N6" s="406">
        <f>SUM(J6:J23)*1.2</f>
        <v>0</v>
      </c>
      <c r="O6" s="21">
        <f>M6*1.2</f>
        <v>17946.143999999997</v>
      </c>
      <c r="P6" s="75">
        <f>F24-O6</f>
        <v>406685.66600000008</v>
      </c>
    </row>
    <row r="7" spans="1:16" ht="34.9" customHeight="1" x14ac:dyDescent="0.25">
      <c r="A7" s="408"/>
      <c r="B7" s="367"/>
      <c r="C7" s="395"/>
      <c r="D7" s="395"/>
      <c r="E7" s="394"/>
      <c r="F7" s="410"/>
      <c r="G7" s="2" t="s">
        <v>12</v>
      </c>
      <c r="H7" s="2"/>
      <c r="I7" s="67">
        <v>16327.84</v>
      </c>
      <c r="J7" s="2"/>
      <c r="K7" s="21">
        <f t="shared" ref="K7:O21" si="0">I7*1.2</f>
        <v>19593.407999999999</v>
      </c>
      <c r="L7" s="21"/>
      <c r="M7" s="21">
        <f t="shared" si="0"/>
        <v>23512.089599999999</v>
      </c>
      <c r="N7" s="406"/>
      <c r="O7" s="21">
        <f t="shared" si="0"/>
        <v>28214.507519999999</v>
      </c>
      <c r="P7" s="75">
        <f>P6-O7</f>
        <v>378471.1584800001</v>
      </c>
    </row>
    <row r="8" spans="1:16" ht="34.9" customHeight="1" x14ac:dyDescent="0.25">
      <c r="A8" s="408"/>
      <c r="B8" s="367"/>
      <c r="C8" s="395"/>
      <c r="D8" s="395"/>
      <c r="E8" s="394"/>
      <c r="F8" s="410"/>
      <c r="G8" s="2" t="s">
        <v>17</v>
      </c>
      <c r="H8" s="2"/>
      <c r="I8" s="67">
        <v>4071.96</v>
      </c>
      <c r="J8" s="2"/>
      <c r="K8" s="21">
        <f t="shared" si="0"/>
        <v>4886.3519999999999</v>
      </c>
      <c r="L8" s="21"/>
      <c r="M8" s="21">
        <f t="shared" si="0"/>
        <v>5863.6223999999993</v>
      </c>
      <c r="N8" s="406"/>
      <c r="O8" s="21">
        <f t="shared" si="0"/>
        <v>7036.3468799999991</v>
      </c>
      <c r="P8" s="75">
        <f>P7-O8</f>
        <v>371434.81160000007</v>
      </c>
    </row>
    <row r="9" spans="1:16" ht="34.9" customHeight="1" x14ac:dyDescent="0.25">
      <c r="A9" s="408"/>
      <c r="B9" s="367"/>
      <c r="C9" s="395"/>
      <c r="D9" s="395"/>
      <c r="E9" s="394"/>
      <c r="F9" s="410"/>
      <c r="G9" s="2" t="s">
        <v>13</v>
      </c>
      <c r="H9" s="2"/>
      <c r="I9" s="67">
        <v>14917</v>
      </c>
      <c r="J9" s="2"/>
      <c r="K9" s="21">
        <f t="shared" si="0"/>
        <v>17900.399999999998</v>
      </c>
      <c r="L9" s="21"/>
      <c r="M9" s="21">
        <f t="shared" si="0"/>
        <v>21480.479999999996</v>
      </c>
      <c r="N9" s="406"/>
      <c r="O9" s="21">
        <f t="shared" si="0"/>
        <v>25776.575999999994</v>
      </c>
      <c r="P9" s="75">
        <f>P8-O9</f>
        <v>345658.23560000007</v>
      </c>
    </row>
    <row r="10" spans="1:16" ht="34.9" customHeight="1" x14ac:dyDescent="0.25">
      <c r="A10" s="408"/>
      <c r="B10" s="367"/>
      <c r="C10" s="395"/>
      <c r="D10" s="395"/>
      <c r="E10" s="394"/>
      <c r="F10" s="410"/>
      <c r="G10" s="2" t="s">
        <v>14</v>
      </c>
      <c r="H10" s="2"/>
      <c r="I10" s="67">
        <v>12953.99</v>
      </c>
      <c r="J10" s="2"/>
      <c r="K10" s="21">
        <f t="shared" si="0"/>
        <v>15544.787999999999</v>
      </c>
      <c r="L10" s="21"/>
      <c r="M10" s="21">
        <f t="shared" si="0"/>
        <v>18653.745599999998</v>
      </c>
      <c r="N10" s="406"/>
      <c r="O10" s="21">
        <f t="shared" si="0"/>
        <v>22384.494719999999</v>
      </c>
      <c r="P10" s="75">
        <f t="shared" ref="P10:P23" si="1">P9-O10</f>
        <v>323273.74088000006</v>
      </c>
    </row>
    <row r="11" spans="1:16" ht="34.9" customHeight="1" x14ac:dyDescent="0.25">
      <c r="A11" s="408"/>
      <c r="B11" s="367"/>
      <c r="C11" s="395"/>
      <c r="D11" s="395"/>
      <c r="E11" s="394"/>
      <c r="F11" s="410"/>
      <c r="G11" s="2" t="s">
        <v>15</v>
      </c>
      <c r="H11" s="2"/>
      <c r="I11" s="67">
        <v>6393</v>
      </c>
      <c r="J11" s="2"/>
      <c r="K11" s="21">
        <f t="shared" si="0"/>
        <v>7671.5999999999995</v>
      </c>
      <c r="L11" s="21"/>
      <c r="M11" s="21">
        <f t="shared" si="0"/>
        <v>9205.9199999999983</v>
      </c>
      <c r="N11" s="406"/>
      <c r="O11" s="21">
        <f t="shared" si="0"/>
        <v>11047.103999999998</v>
      </c>
      <c r="P11" s="75">
        <f t="shared" si="1"/>
        <v>312226.63688000006</v>
      </c>
    </row>
    <row r="12" spans="1:16" ht="34.9" customHeight="1" x14ac:dyDescent="0.25">
      <c r="A12" s="408"/>
      <c r="B12" s="367"/>
      <c r="C12" s="395"/>
      <c r="D12" s="395"/>
      <c r="E12" s="394"/>
      <c r="F12" s="410"/>
      <c r="G12" s="2" t="s">
        <v>16</v>
      </c>
      <c r="H12" s="2"/>
      <c r="I12" s="67">
        <v>2573.65</v>
      </c>
      <c r="J12" s="2"/>
      <c r="K12" s="21">
        <f t="shared" si="0"/>
        <v>3088.38</v>
      </c>
      <c r="L12" s="21"/>
      <c r="M12" s="21">
        <f t="shared" si="0"/>
        <v>3706.056</v>
      </c>
      <c r="N12" s="406"/>
      <c r="O12" s="21">
        <f t="shared" si="0"/>
        <v>4447.2672000000002</v>
      </c>
      <c r="P12" s="75">
        <f t="shared" si="1"/>
        <v>307779.36968000006</v>
      </c>
    </row>
    <row r="13" spans="1:16" ht="34.9" customHeight="1" x14ac:dyDescent="0.25">
      <c r="A13" s="408"/>
      <c r="B13" s="367"/>
      <c r="C13" s="395"/>
      <c r="D13" s="395"/>
      <c r="E13" s="394"/>
      <c r="F13" s="410"/>
      <c r="G13" s="2" t="s">
        <v>123</v>
      </c>
      <c r="H13" s="2"/>
      <c r="I13" s="67">
        <v>2573.64</v>
      </c>
      <c r="J13" s="2"/>
      <c r="K13" s="21">
        <f t="shared" si="0"/>
        <v>3088.3679999999999</v>
      </c>
      <c r="L13" s="21"/>
      <c r="M13" s="21">
        <f t="shared" si="0"/>
        <v>3706.0415999999996</v>
      </c>
      <c r="N13" s="406"/>
      <c r="O13" s="21">
        <f t="shared" si="0"/>
        <v>4447.2499199999993</v>
      </c>
      <c r="P13" s="75">
        <f t="shared" si="1"/>
        <v>303332.11976000009</v>
      </c>
    </row>
    <row r="14" spans="1:16" ht="34.9" customHeight="1" x14ac:dyDescent="0.25">
      <c r="A14" s="408"/>
      <c r="B14" s="367"/>
      <c r="C14" s="395"/>
      <c r="D14" s="395"/>
      <c r="E14" s="394"/>
      <c r="F14" s="410">
        <v>55027.9</v>
      </c>
      <c r="G14" s="2" t="s">
        <v>115</v>
      </c>
      <c r="H14" s="2"/>
      <c r="I14" s="67">
        <v>9410.77</v>
      </c>
      <c r="J14" s="2"/>
      <c r="K14" s="21">
        <f t="shared" si="0"/>
        <v>11292.924000000001</v>
      </c>
      <c r="L14" s="21"/>
      <c r="M14" s="21">
        <f t="shared" si="0"/>
        <v>13551.508800000001</v>
      </c>
      <c r="N14" s="406"/>
      <c r="O14" s="21">
        <f t="shared" si="0"/>
        <v>16261.810560000002</v>
      </c>
      <c r="P14" s="75">
        <f t="shared" si="1"/>
        <v>287070.30920000008</v>
      </c>
    </row>
    <row r="15" spans="1:16" ht="34.9" customHeight="1" x14ac:dyDescent="0.25">
      <c r="A15" s="408"/>
      <c r="B15" s="367"/>
      <c r="C15" s="395"/>
      <c r="D15" s="395"/>
      <c r="E15" s="394"/>
      <c r="F15" s="410"/>
      <c r="G15" s="2" t="s">
        <v>124</v>
      </c>
      <c r="H15" s="2"/>
      <c r="I15" s="67">
        <v>22594.3</v>
      </c>
      <c r="J15" s="2"/>
      <c r="K15" s="21">
        <f t="shared" si="0"/>
        <v>27113.16</v>
      </c>
      <c r="L15" s="21"/>
      <c r="M15" s="21">
        <f t="shared" si="0"/>
        <v>32535.791999999998</v>
      </c>
      <c r="N15" s="406"/>
      <c r="O15" s="21">
        <f t="shared" si="0"/>
        <v>39042.950399999994</v>
      </c>
      <c r="P15" s="75">
        <f t="shared" si="1"/>
        <v>248027.35880000007</v>
      </c>
    </row>
    <row r="16" spans="1:16" ht="34.9" customHeight="1" x14ac:dyDescent="0.25">
      <c r="A16" s="408"/>
      <c r="B16" s="367"/>
      <c r="C16" s="395"/>
      <c r="D16" s="395"/>
      <c r="E16" s="394" t="s">
        <v>133</v>
      </c>
      <c r="F16" s="396">
        <v>87777.42</v>
      </c>
      <c r="G16" s="2" t="s">
        <v>125</v>
      </c>
      <c r="H16" s="2"/>
      <c r="I16" s="67">
        <v>5648.57</v>
      </c>
      <c r="J16" s="2"/>
      <c r="K16" s="21">
        <f t="shared" si="0"/>
        <v>6778.2839999999997</v>
      </c>
      <c r="L16" s="21"/>
      <c r="M16" s="21">
        <f t="shared" si="0"/>
        <v>8133.9407999999994</v>
      </c>
      <c r="N16" s="406"/>
      <c r="O16" s="21">
        <f t="shared" si="0"/>
        <v>9760.7289599999986</v>
      </c>
      <c r="P16" s="75">
        <f t="shared" si="1"/>
        <v>238266.62984000007</v>
      </c>
    </row>
    <row r="17" spans="1:18" ht="34.9" customHeight="1" x14ac:dyDescent="0.25">
      <c r="A17" s="408"/>
      <c r="B17" s="367"/>
      <c r="C17" s="395"/>
      <c r="D17" s="395"/>
      <c r="E17" s="394"/>
      <c r="F17" s="397"/>
      <c r="G17" s="2" t="s">
        <v>126</v>
      </c>
      <c r="H17" s="2"/>
      <c r="I17" s="67">
        <v>26519.14</v>
      </c>
      <c r="J17" s="2"/>
      <c r="K17" s="21">
        <f t="shared" si="0"/>
        <v>31822.967999999997</v>
      </c>
      <c r="L17" s="21"/>
      <c r="M17" s="21">
        <f t="shared" si="0"/>
        <v>38187.561599999994</v>
      </c>
      <c r="N17" s="406"/>
      <c r="O17" s="21">
        <f t="shared" si="0"/>
        <v>45825.073919999988</v>
      </c>
      <c r="P17" s="75">
        <f t="shared" si="1"/>
        <v>192441.55592000007</v>
      </c>
    </row>
    <row r="18" spans="1:18" ht="34.9" customHeight="1" x14ac:dyDescent="0.25">
      <c r="A18" s="408"/>
      <c r="B18" s="367"/>
      <c r="C18" s="395"/>
      <c r="D18" s="395"/>
      <c r="E18" s="394"/>
      <c r="F18" s="397"/>
      <c r="G18" s="2" t="s">
        <v>127</v>
      </c>
      <c r="H18" s="2"/>
      <c r="I18" s="67">
        <v>17133.080000000002</v>
      </c>
      <c r="J18" s="2"/>
      <c r="K18" s="21">
        <f t="shared" si="0"/>
        <v>20559.696</v>
      </c>
      <c r="L18" s="21"/>
      <c r="M18" s="21">
        <f t="shared" si="0"/>
        <v>24671.635200000001</v>
      </c>
      <c r="N18" s="406"/>
      <c r="O18" s="21">
        <f t="shared" si="0"/>
        <v>29605.962240000001</v>
      </c>
      <c r="P18" s="75">
        <f t="shared" si="1"/>
        <v>162835.59368000008</v>
      </c>
    </row>
    <row r="19" spans="1:18" ht="34.9" customHeight="1" x14ac:dyDescent="0.25">
      <c r="A19" s="408"/>
      <c r="B19" s="367"/>
      <c r="C19" s="395"/>
      <c r="D19" s="395"/>
      <c r="E19" s="394"/>
      <c r="F19" s="398"/>
      <c r="G19" s="2" t="s">
        <v>128</v>
      </c>
      <c r="H19" s="2"/>
      <c r="I19" s="67">
        <v>11365.35</v>
      </c>
      <c r="J19" s="2"/>
      <c r="K19" s="21">
        <f t="shared" si="0"/>
        <v>13638.42</v>
      </c>
      <c r="L19" s="21"/>
      <c r="M19" s="21">
        <f t="shared" si="0"/>
        <v>16366.103999999999</v>
      </c>
      <c r="N19" s="406"/>
      <c r="O19" s="21">
        <f t="shared" si="0"/>
        <v>19639.324799999999</v>
      </c>
      <c r="P19" s="75">
        <f t="shared" si="1"/>
        <v>143196.26888000008</v>
      </c>
    </row>
    <row r="20" spans="1:18" ht="34.9" customHeight="1" x14ac:dyDescent="0.25">
      <c r="A20" s="408"/>
      <c r="B20" s="367"/>
      <c r="C20" s="395"/>
      <c r="D20" s="395"/>
      <c r="E20" s="394" t="s">
        <v>134</v>
      </c>
      <c r="F20" s="82">
        <v>209528.79</v>
      </c>
      <c r="G20" s="2" t="s">
        <v>129</v>
      </c>
      <c r="H20" s="2"/>
      <c r="I20" s="67">
        <v>10761</v>
      </c>
      <c r="J20" s="2"/>
      <c r="K20" s="21">
        <f t="shared" si="0"/>
        <v>12913.199999999999</v>
      </c>
      <c r="L20" s="21"/>
      <c r="M20" s="21">
        <f t="shared" si="0"/>
        <v>15495.839999999998</v>
      </c>
      <c r="N20" s="406"/>
      <c r="O20" s="21">
        <f t="shared" si="0"/>
        <v>18595.007999999998</v>
      </c>
      <c r="P20" s="75">
        <f t="shared" si="1"/>
        <v>124601.26088000007</v>
      </c>
    </row>
    <row r="21" spans="1:18" ht="34.9" customHeight="1" x14ac:dyDescent="0.25">
      <c r="A21" s="408"/>
      <c r="B21" s="367"/>
      <c r="C21" s="395"/>
      <c r="D21" s="395"/>
      <c r="E21" s="394"/>
      <c r="F21" s="83"/>
      <c r="G21" s="2" t="s">
        <v>130</v>
      </c>
      <c r="H21" s="2"/>
      <c r="I21" s="67">
        <v>7720.94</v>
      </c>
      <c r="J21" s="2"/>
      <c r="K21" s="21">
        <f t="shared" si="0"/>
        <v>9265.1279999999988</v>
      </c>
      <c r="L21" s="21"/>
      <c r="M21" s="21">
        <f t="shared" si="0"/>
        <v>11118.153599999998</v>
      </c>
      <c r="N21" s="406"/>
      <c r="O21" s="21">
        <f t="shared" si="0"/>
        <v>13341.784319999997</v>
      </c>
      <c r="P21" s="75">
        <f t="shared" si="1"/>
        <v>111259.47656000008</v>
      </c>
    </row>
    <row r="22" spans="1:18" ht="34.9" customHeight="1" x14ac:dyDescent="0.25">
      <c r="A22" s="408"/>
      <c r="B22" s="367"/>
      <c r="C22" s="395"/>
      <c r="D22" s="395"/>
      <c r="E22" s="394"/>
      <c r="F22" s="84"/>
      <c r="G22" s="2" t="s">
        <v>131</v>
      </c>
      <c r="H22" s="2"/>
      <c r="I22" s="67">
        <v>4843.2</v>
      </c>
      <c r="J22" s="2"/>
      <c r="K22" s="21">
        <v>5811.83</v>
      </c>
      <c r="L22" s="21"/>
      <c r="M22" s="21">
        <v>5811.83</v>
      </c>
      <c r="N22" s="406"/>
      <c r="O22" s="21">
        <v>5811.83</v>
      </c>
      <c r="P22" s="75">
        <f t="shared" si="1"/>
        <v>105447.64656000008</v>
      </c>
    </row>
    <row r="23" spans="1:18" ht="34.9" customHeight="1" x14ac:dyDescent="0.25">
      <c r="A23" s="408"/>
      <c r="B23" s="367"/>
      <c r="C23" s="395"/>
      <c r="D23" s="395"/>
      <c r="E23" s="87" t="s">
        <v>135</v>
      </c>
      <c r="F23" s="76">
        <v>25826.400000000001</v>
      </c>
      <c r="G23" s="2" t="s">
        <v>114</v>
      </c>
      <c r="H23" s="2"/>
      <c r="I23" s="67">
        <v>11586.45</v>
      </c>
      <c r="J23" s="2"/>
      <c r="K23" s="21">
        <v>13903.76</v>
      </c>
      <c r="L23" s="21"/>
      <c r="M23" s="21">
        <v>13903.76</v>
      </c>
      <c r="N23" s="406"/>
      <c r="O23" s="21">
        <v>13903.76</v>
      </c>
      <c r="P23" s="75">
        <f t="shared" si="1"/>
        <v>91543.886560000086</v>
      </c>
      <c r="R23" s="74"/>
    </row>
    <row r="24" spans="1:18" ht="34.9" customHeight="1" x14ac:dyDescent="0.25">
      <c r="A24" s="408"/>
      <c r="B24" s="399" t="s">
        <v>136</v>
      </c>
      <c r="C24" s="400"/>
      <c r="D24" s="400"/>
      <c r="E24" s="401"/>
      <c r="F24" s="76">
        <f>SUM(F6:F23)</f>
        <v>424631.81000000006</v>
      </c>
      <c r="G24" s="2"/>
      <c r="H24" s="2"/>
      <c r="I24" s="67"/>
      <c r="J24" s="2"/>
      <c r="K24" s="21"/>
      <c r="L24" s="21"/>
      <c r="M24" s="21"/>
      <c r="N24" s="22"/>
      <c r="O24" s="21"/>
      <c r="P24" s="75"/>
      <c r="R24" s="74"/>
    </row>
    <row r="25" spans="1:18" ht="14.25" customHeight="1" x14ac:dyDescent="0.25">
      <c r="A25" s="408"/>
      <c r="B25" s="367" t="s">
        <v>85</v>
      </c>
      <c r="C25" s="413" t="s">
        <v>86</v>
      </c>
      <c r="D25" s="1"/>
      <c r="E25" s="112" t="s">
        <v>87</v>
      </c>
      <c r="F25" s="74">
        <v>5904</v>
      </c>
      <c r="G25" s="73">
        <v>1916</v>
      </c>
      <c r="H25" s="73"/>
      <c r="I25" s="73">
        <v>4920</v>
      </c>
      <c r="J25" s="73"/>
      <c r="K25" s="75">
        <v>5904</v>
      </c>
      <c r="L25" s="75"/>
      <c r="M25" s="75">
        <v>5904</v>
      </c>
      <c r="N25" s="75"/>
      <c r="O25" s="75">
        <v>5904</v>
      </c>
      <c r="P25" s="24">
        <f>O25-F25</f>
        <v>0</v>
      </c>
      <c r="R25" s="74"/>
    </row>
    <row r="26" spans="1:18" ht="14.25" customHeight="1" x14ac:dyDescent="0.25">
      <c r="A26" s="408"/>
      <c r="B26" s="367"/>
      <c r="C26" s="413"/>
      <c r="D26" s="72"/>
      <c r="E26" s="112" t="s">
        <v>88</v>
      </c>
      <c r="F26" s="74">
        <v>3996</v>
      </c>
      <c r="G26" s="73" t="s">
        <v>89</v>
      </c>
      <c r="H26" s="73"/>
      <c r="I26" s="73">
        <v>3330</v>
      </c>
      <c r="J26" s="73"/>
      <c r="K26" s="75">
        <v>3996</v>
      </c>
      <c r="L26" s="75"/>
      <c r="M26" s="75">
        <v>3996</v>
      </c>
      <c r="N26" s="75"/>
      <c r="O26" s="75">
        <v>3996</v>
      </c>
      <c r="P26" s="24"/>
      <c r="R26" s="76"/>
    </row>
    <row r="27" spans="1:18" ht="14.25" customHeight="1" x14ac:dyDescent="0.25">
      <c r="A27" s="408"/>
      <c r="B27" s="367"/>
      <c r="C27" s="413"/>
      <c r="D27" s="72"/>
      <c r="E27" s="113" t="s">
        <v>90</v>
      </c>
      <c r="F27" s="74">
        <v>2040</v>
      </c>
      <c r="G27" s="73" t="s">
        <v>96</v>
      </c>
      <c r="H27" s="73"/>
      <c r="I27" s="73">
        <v>1700</v>
      </c>
      <c r="J27" s="73"/>
      <c r="K27" s="75">
        <v>2040</v>
      </c>
      <c r="L27" s="75"/>
      <c r="M27" s="75">
        <v>2040</v>
      </c>
      <c r="N27" s="75"/>
      <c r="O27" s="75">
        <v>2040</v>
      </c>
      <c r="P27" s="24">
        <f>O27-F27</f>
        <v>0</v>
      </c>
      <c r="R27" s="76"/>
    </row>
    <row r="28" spans="1:18" ht="34.9" customHeight="1" x14ac:dyDescent="0.25">
      <c r="A28" s="408"/>
      <c r="B28" s="367"/>
      <c r="C28" s="413"/>
      <c r="D28" s="13"/>
      <c r="E28" s="112" t="s">
        <v>91</v>
      </c>
      <c r="F28" s="76">
        <v>348</v>
      </c>
      <c r="G28" s="2" t="s">
        <v>92</v>
      </c>
      <c r="H28" s="2"/>
      <c r="I28" s="67">
        <v>290</v>
      </c>
      <c r="J28" s="2"/>
      <c r="K28" s="7">
        <v>348</v>
      </c>
      <c r="L28" s="7"/>
      <c r="M28" s="7">
        <v>348</v>
      </c>
      <c r="N28" s="7"/>
      <c r="O28" s="7">
        <f>+M28-N28</f>
        <v>348</v>
      </c>
      <c r="P28" s="24">
        <f>O28-F28</f>
        <v>0</v>
      </c>
      <c r="R28" s="74"/>
    </row>
    <row r="29" spans="1:18" ht="34.9" customHeight="1" x14ac:dyDescent="0.25">
      <c r="A29" s="408"/>
      <c r="B29" s="367"/>
      <c r="C29" s="413"/>
      <c r="D29" s="13"/>
      <c r="E29" s="112" t="s">
        <v>112</v>
      </c>
      <c r="F29" s="76">
        <v>480</v>
      </c>
      <c r="G29" s="2" t="s">
        <v>113</v>
      </c>
      <c r="H29" s="2"/>
      <c r="I29" s="67">
        <v>400</v>
      </c>
      <c r="J29" s="2"/>
      <c r="K29" s="7">
        <v>480</v>
      </c>
      <c r="L29" s="7"/>
      <c r="M29" s="7">
        <v>480</v>
      </c>
      <c r="N29" s="7"/>
      <c r="O29" s="7">
        <v>480</v>
      </c>
      <c r="P29" s="24">
        <f>O29-F29</f>
        <v>0</v>
      </c>
      <c r="R29" s="104"/>
    </row>
    <row r="30" spans="1:18" ht="14.25" customHeight="1" x14ac:dyDescent="0.25">
      <c r="A30" s="408"/>
      <c r="B30" s="367"/>
      <c r="C30" s="413"/>
      <c r="D30" s="72"/>
      <c r="E30" s="112" t="s">
        <v>93</v>
      </c>
      <c r="F30" s="74">
        <v>996</v>
      </c>
      <c r="G30" s="73"/>
      <c r="H30" s="73"/>
      <c r="I30" s="73"/>
      <c r="J30" s="73"/>
      <c r="K30" s="75"/>
      <c r="L30" s="75"/>
      <c r="M30" s="75"/>
      <c r="N30" s="75"/>
      <c r="O30" s="75"/>
      <c r="P30" s="24">
        <f>O30-F30</f>
        <v>-996</v>
      </c>
    </row>
    <row r="31" spans="1:18" ht="34.9" customHeight="1" x14ac:dyDescent="0.25">
      <c r="A31" s="408"/>
      <c r="B31" s="12" t="s">
        <v>94</v>
      </c>
      <c r="C31" s="13" t="s">
        <v>95</v>
      </c>
      <c r="D31" s="13"/>
      <c r="E31" s="116" t="s">
        <v>151</v>
      </c>
      <c r="F31" s="76">
        <v>5324.4</v>
      </c>
      <c r="G31" s="2"/>
      <c r="H31" s="2"/>
      <c r="I31" s="67"/>
      <c r="J31" s="2"/>
      <c r="K31" s="7"/>
      <c r="L31" s="7"/>
      <c r="M31" s="7"/>
      <c r="N31" s="7">
        <f>J31*1.2</f>
        <v>0</v>
      </c>
      <c r="O31" s="7">
        <f>+M31-N31</f>
        <v>0</v>
      </c>
      <c r="P31" s="19">
        <f>+F31-O31</f>
        <v>5324.4</v>
      </c>
    </row>
    <row r="32" spans="1:18" ht="19.5" customHeight="1" x14ac:dyDescent="0.25">
      <c r="A32" s="409"/>
      <c r="B32" s="77" t="s">
        <v>97</v>
      </c>
      <c r="C32" s="78" t="s">
        <v>98</v>
      </c>
      <c r="D32" s="78"/>
      <c r="E32" s="116" t="s">
        <v>99</v>
      </c>
      <c r="F32" s="76">
        <v>16506</v>
      </c>
      <c r="G32" s="73" t="s">
        <v>100</v>
      </c>
      <c r="H32" s="73"/>
      <c r="I32" s="73">
        <v>13755</v>
      </c>
      <c r="J32" s="73"/>
      <c r="K32" s="74"/>
      <c r="L32" s="74"/>
      <c r="M32" s="74">
        <v>16506</v>
      </c>
      <c r="N32" s="74"/>
      <c r="O32" s="74"/>
      <c r="P32" s="74"/>
      <c r="R32" s="104"/>
    </row>
    <row r="33" spans="1:16" ht="34.9" customHeight="1" x14ac:dyDescent="0.25">
      <c r="A33" s="411" t="s">
        <v>6</v>
      </c>
      <c r="B33" s="388" t="s">
        <v>103</v>
      </c>
      <c r="C33" s="413" t="s">
        <v>105</v>
      </c>
      <c r="D33" s="13"/>
      <c r="E33" s="87" t="s">
        <v>104</v>
      </c>
      <c r="F33" s="20">
        <v>112867.63</v>
      </c>
      <c r="G33" s="2">
        <v>2200182</v>
      </c>
      <c r="H33" s="2"/>
      <c r="I33" s="67">
        <v>10224.1</v>
      </c>
      <c r="J33" s="2"/>
      <c r="K33" s="22">
        <v>12268.92</v>
      </c>
      <c r="L33" s="22"/>
      <c r="M33" s="21">
        <v>12268.92</v>
      </c>
      <c r="N33" s="21">
        <f>(J33+J37)*1.2</f>
        <v>0</v>
      </c>
      <c r="O33" s="21">
        <v>12268.92</v>
      </c>
      <c r="P33" s="24">
        <f>F33-O33</f>
        <v>100598.71</v>
      </c>
    </row>
    <row r="34" spans="1:16" ht="34.9" customHeight="1" x14ac:dyDescent="0.25">
      <c r="A34" s="412"/>
      <c r="B34" s="419"/>
      <c r="C34" s="413"/>
      <c r="D34" s="13"/>
      <c r="E34" s="87"/>
      <c r="F34" s="20"/>
      <c r="G34" s="2">
        <v>2200242</v>
      </c>
      <c r="H34" s="2"/>
      <c r="I34" s="67">
        <v>6026.9</v>
      </c>
      <c r="J34" s="2"/>
      <c r="K34" s="22">
        <v>7232.28</v>
      </c>
      <c r="L34" s="22"/>
      <c r="M34" s="21">
        <v>7232.28</v>
      </c>
      <c r="N34" s="21"/>
      <c r="O34" s="21">
        <v>7232.28</v>
      </c>
      <c r="P34" s="24">
        <f>P33-O34</f>
        <v>93366.430000000008</v>
      </c>
    </row>
    <row r="35" spans="1:16" ht="34.9" customHeight="1" x14ac:dyDescent="0.25">
      <c r="A35" s="412"/>
      <c r="B35" s="419"/>
      <c r="C35" s="413"/>
      <c r="D35" s="13"/>
      <c r="E35" s="87"/>
      <c r="F35" s="20"/>
      <c r="G35" s="2">
        <v>2200293</v>
      </c>
      <c r="H35" s="2"/>
      <c r="I35" s="67">
        <v>7091.29</v>
      </c>
      <c r="J35" s="2"/>
      <c r="K35" s="22">
        <v>8509.9500000000007</v>
      </c>
      <c r="L35" s="22"/>
      <c r="M35" s="21">
        <v>8509.9500000000007</v>
      </c>
      <c r="N35" s="21"/>
      <c r="O35" s="21">
        <v>8509.9500000000007</v>
      </c>
      <c r="P35" s="24">
        <f>P34-O35</f>
        <v>84856.48000000001</v>
      </c>
    </row>
    <row r="36" spans="1:16" ht="34.9" customHeight="1" x14ac:dyDescent="0.25">
      <c r="A36" s="412"/>
      <c r="B36" s="419"/>
      <c r="C36" s="413"/>
      <c r="D36" s="13"/>
      <c r="E36" s="87"/>
      <c r="F36" s="20"/>
      <c r="G36" s="2">
        <v>2200370</v>
      </c>
      <c r="H36" s="2"/>
      <c r="I36" s="67">
        <v>2278.65</v>
      </c>
      <c r="J36" s="2"/>
      <c r="K36" s="22">
        <v>2734.38</v>
      </c>
      <c r="L36" s="22"/>
      <c r="M36" s="21">
        <v>2734.38</v>
      </c>
      <c r="N36" s="21"/>
      <c r="O36" s="21">
        <v>2734.38</v>
      </c>
      <c r="P36" s="24">
        <f>P35-O36</f>
        <v>82122.100000000006</v>
      </c>
    </row>
    <row r="37" spans="1:16" ht="34.9" customHeight="1" x14ac:dyDescent="0.25">
      <c r="A37" s="412"/>
      <c r="B37" s="419"/>
      <c r="C37" s="413"/>
      <c r="D37" s="60"/>
      <c r="E37" s="87"/>
      <c r="F37" s="20"/>
      <c r="G37" s="79">
        <v>2200400</v>
      </c>
      <c r="H37" s="52"/>
      <c r="I37" s="67">
        <v>5029.8900000000003</v>
      </c>
      <c r="J37" s="52"/>
      <c r="K37" s="22">
        <v>6035.87</v>
      </c>
      <c r="L37" s="59"/>
      <c r="M37" s="21">
        <v>6035.87</v>
      </c>
      <c r="N37" s="21"/>
      <c r="O37" s="21">
        <v>6035.87</v>
      </c>
      <c r="P37" s="24">
        <f>P36-O37</f>
        <v>76086.23000000001</v>
      </c>
    </row>
    <row r="38" spans="1:16" ht="34.9" customHeight="1" x14ac:dyDescent="0.25">
      <c r="A38" s="412"/>
      <c r="B38" s="419"/>
      <c r="C38" s="413"/>
      <c r="D38" s="60"/>
      <c r="E38" s="87"/>
      <c r="F38" s="20"/>
      <c r="G38" s="79"/>
      <c r="H38" s="52"/>
      <c r="I38" s="67"/>
      <c r="J38" s="52"/>
      <c r="K38" s="22"/>
      <c r="L38" s="59"/>
      <c r="M38" s="21"/>
      <c r="N38" s="21"/>
      <c r="O38" s="21"/>
      <c r="P38" s="24"/>
    </row>
    <row r="39" spans="1:16" ht="34.9" customHeight="1" x14ac:dyDescent="0.25">
      <c r="A39" s="412"/>
      <c r="B39" s="419"/>
      <c r="C39" s="413"/>
      <c r="D39" s="60"/>
      <c r="E39" s="87"/>
      <c r="F39" s="20"/>
      <c r="G39" s="79"/>
      <c r="H39" s="52"/>
      <c r="I39" s="67"/>
      <c r="J39" s="52"/>
      <c r="K39" s="22"/>
      <c r="L39" s="59"/>
      <c r="M39" s="21"/>
      <c r="N39" s="21"/>
      <c r="O39" s="21"/>
      <c r="P39" s="24"/>
    </row>
    <row r="40" spans="1:16" ht="34.9" customHeight="1" x14ac:dyDescent="0.25">
      <c r="A40" s="412"/>
      <c r="B40" s="419"/>
      <c r="C40" s="413"/>
      <c r="D40" s="60"/>
      <c r="E40" s="87" t="s">
        <v>118</v>
      </c>
      <c r="F40" s="20">
        <v>10840.32</v>
      </c>
      <c r="G40" s="79"/>
      <c r="H40" s="52"/>
      <c r="I40" s="67"/>
      <c r="J40" s="52"/>
      <c r="K40" s="22"/>
      <c r="L40" s="59"/>
      <c r="M40" s="21"/>
      <c r="N40" s="21"/>
      <c r="O40" s="21"/>
      <c r="P40" s="24"/>
    </row>
    <row r="41" spans="1:16" ht="14.25" customHeight="1" x14ac:dyDescent="0.25">
      <c r="A41" s="412"/>
      <c r="B41" s="419"/>
      <c r="C41" s="413"/>
      <c r="D41" s="78"/>
      <c r="E41" s="403" t="s">
        <v>108</v>
      </c>
      <c r="F41" s="418">
        <v>95618.57</v>
      </c>
      <c r="G41" s="73">
        <v>2200387</v>
      </c>
      <c r="H41" s="73"/>
      <c r="I41" s="73">
        <v>26951.58</v>
      </c>
      <c r="J41" s="73"/>
      <c r="K41" s="80">
        <v>32341.9</v>
      </c>
      <c r="L41" s="80"/>
      <c r="M41" s="80"/>
      <c r="N41" s="80"/>
      <c r="O41" s="80"/>
      <c r="P41" s="81"/>
    </row>
    <row r="42" spans="1:16" ht="14.25" customHeight="1" x14ac:dyDescent="0.25">
      <c r="A42" s="412"/>
      <c r="B42" s="419"/>
      <c r="C42" s="413"/>
      <c r="D42" s="78"/>
      <c r="E42" s="403"/>
      <c r="F42" s="418"/>
      <c r="G42" s="73"/>
      <c r="H42" s="73"/>
      <c r="I42" s="73"/>
      <c r="J42" s="73"/>
      <c r="K42" s="80"/>
      <c r="L42" s="80"/>
      <c r="M42" s="80"/>
      <c r="N42" s="80"/>
      <c r="O42" s="80"/>
      <c r="P42" s="81"/>
    </row>
    <row r="43" spans="1:16" ht="34.9" customHeight="1" x14ac:dyDescent="0.25">
      <c r="A43" s="412"/>
      <c r="B43" s="419"/>
      <c r="C43" s="413" t="s">
        <v>106</v>
      </c>
      <c r="D43" s="13"/>
      <c r="E43" s="87" t="s">
        <v>109</v>
      </c>
      <c r="F43" s="20">
        <v>17170.02</v>
      </c>
      <c r="G43" s="2">
        <v>692205091</v>
      </c>
      <c r="H43" s="2"/>
      <c r="I43" s="67">
        <v>14308.35</v>
      </c>
      <c r="J43" s="2"/>
      <c r="K43" s="56">
        <v>17170.02</v>
      </c>
      <c r="L43" s="6"/>
      <c r="M43" s="88">
        <v>17170.02</v>
      </c>
      <c r="N43" s="88"/>
      <c r="O43" s="88">
        <v>17170.02</v>
      </c>
      <c r="P43" s="89">
        <f>F43-O43</f>
        <v>0</v>
      </c>
    </row>
    <row r="44" spans="1:16" ht="34.9" customHeight="1" x14ac:dyDescent="0.25">
      <c r="A44" s="412"/>
      <c r="B44" s="419"/>
      <c r="C44" s="413"/>
      <c r="D44" s="13"/>
      <c r="E44" s="87" t="s">
        <v>110</v>
      </c>
      <c r="F44" s="20">
        <v>12232.8</v>
      </c>
      <c r="G44" s="2">
        <v>692206006</v>
      </c>
      <c r="H44" s="2"/>
      <c r="I44" s="67">
        <v>10194</v>
      </c>
      <c r="J44" s="2"/>
      <c r="K44" s="56">
        <v>12232.8</v>
      </c>
      <c r="L44" s="6"/>
      <c r="M44" s="88">
        <v>12232.8</v>
      </c>
      <c r="N44" s="88"/>
      <c r="O44" s="88">
        <v>12232.8</v>
      </c>
      <c r="P44" s="89"/>
    </row>
    <row r="45" spans="1:16" ht="34.9" customHeight="1" x14ac:dyDescent="0.25">
      <c r="A45" s="412"/>
      <c r="B45" s="419"/>
      <c r="C45" s="413"/>
      <c r="D45" s="10"/>
      <c r="E45" s="87" t="s">
        <v>111</v>
      </c>
      <c r="F45" s="20">
        <v>14262.12</v>
      </c>
      <c r="G45" s="2">
        <v>692206007</v>
      </c>
      <c r="H45" s="2"/>
      <c r="I45" s="67">
        <v>11885.1</v>
      </c>
      <c r="J45" s="2"/>
      <c r="K45" s="56">
        <v>14262.12</v>
      </c>
      <c r="L45" s="6"/>
      <c r="M45" s="88">
        <v>14262.12</v>
      </c>
      <c r="N45" s="88"/>
      <c r="O45" s="88">
        <v>14262.12</v>
      </c>
      <c r="P45" s="89"/>
    </row>
    <row r="46" spans="1:16" ht="34.9" customHeight="1" x14ac:dyDescent="0.25">
      <c r="A46" s="412"/>
      <c r="B46" s="419"/>
      <c r="C46" s="413"/>
      <c r="D46" s="10"/>
      <c r="E46" s="87" t="s">
        <v>116</v>
      </c>
      <c r="F46" s="20">
        <v>5675.04</v>
      </c>
      <c r="G46" s="2"/>
      <c r="H46" s="2"/>
      <c r="I46" s="67"/>
      <c r="J46" s="2"/>
      <c r="K46" s="56"/>
      <c r="L46" s="6"/>
      <c r="M46" s="88"/>
      <c r="N46" s="88"/>
      <c r="O46" s="88"/>
      <c r="P46" s="89">
        <v>5675.04</v>
      </c>
    </row>
    <row r="47" spans="1:16" ht="34.9" customHeight="1" x14ac:dyDescent="0.25">
      <c r="A47" s="412"/>
      <c r="B47" s="419"/>
      <c r="C47" s="413"/>
      <c r="D47" s="10"/>
      <c r="E47" s="87" t="s">
        <v>117</v>
      </c>
      <c r="F47" s="20">
        <v>77114.399999999994</v>
      </c>
      <c r="G47" s="2">
        <v>692210015</v>
      </c>
      <c r="H47" s="2"/>
      <c r="I47" s="67">
        <v>26937.599999999999</v>
      </c>
      <c r="J47" s="2"/>
      <c r="K47" s="56">
        <v>32325.119999999999</v>
      </c>
      <c r="L47" s="6"/>
      <c r="M47" s="88">
        <v>32325.119999999999</v>
      </c>
      <c r="N47" s="88"/>
      <c r="O47" s="88"/>
      <c r="P47" s="89">
        <f>F47-M47</f>
        <v>44789.279999999999</v>
      </c>
    </row>
    <row r="48" spans="1:16" ht="34.9" customHeight="1" x14ac:dyDescent="0.25">
      <c r="A48" s="412"/>
      <c r="B48" s="419"/>
      <c r="C48" s="413"/>
      <c r="D48" s="10"/>
      <c r="E48" s="87"/>
      <c r="F48" s="20"/>
      <c r="G48" s="2"/>
      <c r="H48" s="2"/>
      <c r="I48" s="67"/>
      <c r="J48" s="2"/>
      <c r="K48" s="56"/>
      <c r="L48" s="6"/>
      <c r="M48" s="88"/>
      <c r="N48" s="88"/>
      <c r="O48" s="88"/>
      <c r="P48" s="89"/>
    </row>
    <row r="49" spans="1:18" ht="34.9" customHeight="1" x14ac:dyDescent="0.25">
      <c r="A49" s="412"/>
      <c r="B49" s="419"/>
      <c r="C49" s="413" t="s">
        <v>107</v>
      </c>
      <c r="D49" s="395"/>
      <c r="E49" s="87" t="s">
        <v>108</v>
      </c>
      <c r="F49" s="20">
        <v>95618.57</v>
      </c>
      <c r="G49" s="2">
        <v>2200387</v>
      </c>
      <c r="H49" s="2"/>
      <c r="I49" s="67">
        <v>26951.58</v>
      </c>
      <c r="J49" s="2"/>
      <c r="K49" s="6">
        <v>32341.9</v>
      </c>
      <c r="L49" s="6"/>
      <c r="M49" s="88">
        <v>32341.9</v>
      </c>
      <c r="N49" s="88"/>
      <c r="O49" s="88">
        <v>32341.9</v>
      </c>
      <c r="P49" s="96">
        <f>F49-O49</f>
        <v>63276.670000000006</v>
      </c>
    </row>
    <row r="50" spans="1:18" ht="34.9" customHeight="1" x14ac:dyDescent="0.25">
      <c r="A50" s="412"/>
      <c r="B50" s="419"/>
      <c r="C50" s="413"/>
      <c r="D50" s="395"/>
      <c r="E50" s="87" t="s">
        <v>119</v>
      </c>
      <c r="F50" s="20">
        <v>3181.04</v>
      </c>
      <c r="G50" s="2"/>
      <c r="H50" s="2"/>
      <c r="I50" s="67"/>
      <c r="J50" s="2"/>
      <c r="K50" s="56"/>
      <c r="L50" s="6"/>
      <c r="M50" s="88"/>
      <c r="N50" s="88"/>
      <c r="O50" s="88"/>
      <c r="P50" s="89">
        <v>3181.04</v>
      </c>
    </row>
    <row r="51" spans="1:18" ht="34.9" customHeight="1" x14ac:dyDescent="0.25">
      <c r="A51" s="412"/>
      <c r="B51" s="389"/>
      <c r="C51" s="90"/>
      <c r="D51" s="10"/>
      <c r="E51" s="87"/>
      <c r="F51" s="20"/>
      <c r="G51" s="2"/>
      <c r="H51" s="2"/>
      <c r="I51" s="67"/>
      <c r="J51" s="2"/>
      <c r="K51" s="56"/>
      <c r="L51" s="6"/>
      <c r="M51" s="88"/>
      <c r="N51" s="88"/>
      <c r="O51" s="88"/>
      <c r="P51" s="24">
        <f>SUM(P37:P50)</f>
        <v>193008.26</v>
      </c>
      <c r="Q51" s="69">
        <f>P51+P30</f>
        <v>192012.26</v>
      </c>
      <c r="R51" s="24">
        <f>SUM(R37:R50)</f>
        <v>0</v>
      </c>
    </row>
    <row r="52" spans="1:18" ht="34.9" customHeight="1" x14ac:dyDescent="0.25">
      <c r="A52" s="412"/>
      <c r="B52" s="388" t="s">
        <v>6</v>
      </c>
      <c r="C52" s="102" t="s">
        <v>121</v>
      </c>
      <c r="D52" s="10"/>
      <c r="E52" s="87" t="s">
        <v>155</v>
      </c>
      <c r="F52" s="20">
        <v>1891927.42</v>
      </c>
      <c r="G52" s="2"/>
      <c r="H52" s="2"/>
      <c r="I52" s="67"/>
      <c r="J52" s="2"/>
      <c r="K52" s="6"/>
      <c r="L52" s="6"/>
      <c r="M52" s="88"/>
      <c r="N52" s="88"/>
      <c r="O52" s="88"/>
      <c r="P52" s="89"/>
    </row>
    <row r="53" spans="1:18" ht="34.9" customHeight="1" x14ac:dyDescent="0.25">
      <c r="A53" s="412"/>
      <c r="B53" s="419"/>
      <c r="C53" s="102" t="s">
        <v>122</v>
      </c>
      <c r="D53" s="92"/>
      <c r="E53" s="87" t="s">
        <v>154</v>
      </c>
      <c r="F53" s="20">
        <v>581678.46</v>
      </c>
      <c r="G53" s="57"/>
      <c r="H53" s="57"/>
      <c r="I53" s="67"/>
      <c r="J53" s="57"/>
      <c r="K53" s="21"/>
      <c r="L53" s="58"/>
      <c r="M53" s="88"/>
      <c r="N53" s="88"/>
      <c r="O53" s="88"/>
      <c r="P53" s="89"/>
    </row>
    <row r="54" spans="1:18" ht="34.9" customHeight="1" x14ac:dyDescent="0.25">
      <c r="A54" s="412"/>
      <c r="B54" s="419"/>
      <c r="C54" s="404" t="s">
        <v>158</v>
      </c>
      <c r="D54" s="10" t="s">
        <v>159</v>
      </c>
      <c r="E54" s="374" t="s">
        <v>153</v>
      </c>
      <c r="F54" s="117">
        <v>412245</v>
      </c>
      <c r="G54" s="2"/>
      <c r="H54" s="2"/>
      <c r="I54" s="67"/>
      <c r="J54" s="2"/>
      <c r="K54" s="56"/>
      <c r="L54" s="6"/>
      <c r="M54" s="88"/>
      <c r="N54" s="88"/>
      <c r="O54" s="88"/>
      <c r="P54" s="89"/>
    </row>
    <row r="55" spans="1:18" ht="34.9" customHeight="1" x14ac:dyDescent="0.25">
      <c r="A55" s="412"/>
      <c r="B55" s="419"/>
      <c r="C55" s="405"/>
      <c r="D55" s="10" t="s">
        <v>160</v>
      </c>
      <c r="E55" s="376"/>
      <c r="F55" s="117">
        <v>412245</v>
      </c>
      <c r="G55" s="2"/>
      <c r="H55" s="2"/>
      <c r="I55" s="67"/>
      <c r="J55" s="2"/>
      <c r="K55" s="6"/>
      <c r="L55" s="6"/>
      <c r="M55" s="88"/>
      <c r="N55" s="88"/>
      <c r="O55" s="88"/>
      <c r="P55" s="89"/>
    </row>
    <row r="56" spans="1:18" ht="34.9" customHeight="1" x14ac:dyDescent="0.25">
      <c r="A56" s="412"/>
      <c r="B56" s="419"/>
      <c r="C56" s="404" t="s">
        <v>157</v>
      </c>
      <c r="D56" s="10"/>
      <c r="E56" s="87" t="s">
        <v>156</v>
      </c>
      <c r="F56" s="20">
        <v>362471.4</v>
      </c>
      <c r="G56" s="2"/>
      <c r="H56" s="2"/>
      <c r="I56" s="67"/>
      <c r="J56" s="2"/>
      <c r="K56" s="6"/>
      <c r="L56" s="6"/>
      <c r="M56" s="88"/>
      <c r="N56" s="88"/>
      <c r="O56" s="88"/>
      <c r="P56" s="89"/>
    </row>
    <row r="57" spans="1:18" ht="34.9" customHeight="1" x14ac:dyDescent="0.25">
      <c r="A57" s="412"/>
      <c r="B57" s="419"/>
      <c r="C57" s="420"/>
      <c r="D57" s="10"/>
      <c r="E57" s="87" t="s">
        <v>152</v>
      </c>
      <c r="F57" s="20">
        <v>362471.4</v>
      </c>
      <c r="G57" s="2"/>
      <c r="H57" s="2"/>
      <c r="I57" s="67"/>
      <c r="J57" s="2"/>
      <c r="K57" s="6"/>
      <c r="L57" s="6"/>
      <c r="M57" s="88"/>
      <c r="N57" s="88"/>
      <c r="O57" s="88"/>
      <c r="P57" s="89"/>
    </row>
    <row r="58" spans="1:18" ht="34.9" customHeight="1" x14ac:dyDescent="0.25">
      <c r="A58" s="412"/>
      <c r="B58" s="389"/>
      <c r="C58" s="13" t="s">
        <v>137</v>
      </c>
      <c r="D58" s="10"/>
      <c r="E58" s="87" t="s">
        <v>138</v>
      </c>
      <c r="F58" s="20">
        <v>144940.04</v>
      </c>
      <c r="G58" s="2"/>
      <c r="H58" s="2"/>
      <c r="I58" s="67"/>
      <c r="J58" s="2"/>
      <c r="K58" s="56"/>
      <c r="L58" s="6"/>
      <c r="M58" s="88"/>
      <c r="N58" s="88"/>
      <c r="O58" s="88"/>
      <c r="P58" s="89"/>
    </row>
    <row r="59" spans="1:18" ht="34.9" customHeight="1" x14ac:dyDescent="0.25">
      <c r="A59" s="412"/>
      <c r="B59" s="91"/>
      <c r="C59" s="11" t="s">
        <v>145</v>
      </c>
      <c r="D59" s="10"/>
      <c r="E59" s="87" t="s">
        <v>146</v>
      </c>
      <c r="F59" s="20">
        <v>110880</v>
      </c>
      <c r="G59" s="2"/>
      <c r="H59" s="2"/>
      <c r="I59" s="67"/>
      <c r="J59" s="2"/>
      <c r="K59" s="7"/>
      <c r="L59" s="7"/>
      <c r="M59" s="88"/>
      <c r="N59" s="88"/>
      <c r="O59" s="88"/>
      <c r="P59" s="89"/>
    </row>
    <row r="60" spans="1:18" ht="34.9" customHeight="1" x14ac:dyDescent="0.25">
      <c r="A60" s="412"/>
      <c r="B60" s="91"/>
      <c r="C60" s="11"/>
      <c r="D60" s="60"/>
      <c r="E60" s="87"/>
      <c r="F60" s="20"/>
      <c r="G60" s="52"/>
      <c r="H60" s="52"/>
      <c r="I60" s="67"/>
      <c r="J60" s="52"/>
      <c r="K60" s="7"/>
      <c r="L60" s="55"/>
      <c r="M60" s="88"/>
      <c r="N60" s="88"/>
      <c r="O60" s="88"/>
      <c r="P60" s="89"/>
    </row>
    <row r="61" spans="1:18" ht="34.9" customHeight="1" x14ac:dyDescent="0.25">
      <c r="A61" s="412"/>
      <c r="B61" s="91"/>
      <c r="C61" s="11"/>
      <c r="D61" s="10"/>
      <c r="E61" s="87"/>
      <c r="F61" s="20"/>
      <c r="G61" s="2"/>
      <c r="H61" s="2"/>
      <c r="I61" s="67"/>
      <c r="J61" s="2"/>
      <c r="K61" s="7"/>
      <c r="L61" s="7"/>
      <c r="M61" s="88"/>
      <c r="N61" s="88"/>
      <c r="O61" s="88"/>
      <c r="P61" s="89"/>
    </row>
    <row r="62" spans="1:18" ht="30" customHeight="1" x14ac:dyDescent="0.25">
      <c r="A62" s="412"/>
      <c r="B62" s="12"/>
      <c r="C62" s="13"/>
      <c r="D62" s="13"/>
      <c r="E62" s="4"/>
      <c r="F62" s="24"/>
      <c r="G62" s="5"/>
      <c r="H62" s="5"/>
      <c r="I62" s="67"/>
      <c r="J62" s="5"/>
      <c r="K62" s="21"/>
      <c r="L62" s="21"/>
      <c r="M62" s="21">
        <f>K62+L62</f>
        <v>0</v>
      </c>
      <c r="N62" s="7">
        <f>J62*1.2</f>
        <v>0</v>
      </c>
      <c r="O62" s="7">
        <f>+M62-N62</f>
        <v>0</v>
      </c>
      <c r="P62" s="19">
        <f>F62-O62</f>
        <v>0</v>
      </c>
    </row>
    <row r="63" spans="1:18" ht="15" customHeight="1" x14ac:dyDescent="0.25">
      <c r="A63" s="412"/>
      <c r="B63" s="30"/>
      <c r="C63" s="31"/>
      <c r="D63" s="31"/>
      <c r="E63" s="114"/>
      <c r="F63" s="24"/>
      <c r="G63" s="37"/>
      <c r="H63" s="37"/>
      <c r="I63" s="37"/>
      <c r="J63" s="37"/>
      <c r="K63" s="24"/>
      <c r="L63" s="24"/>
      <c r="M63" s="24"/>
      <c r="N63" s="24"/>
      <c r="O63" s="24"/>
      <c r="P63" s="24"/>
    </row>
    <row r="64" spans="1:18" ht="30" customHeight="1" x14ac:dyDescent="0.25">
      <c r="A64" s="412"/>
      <c r="B64" s="14"/>
      <c r="C64" s="13"/>
      <c r="D64" s="13"/>
      <c r="E64" s="4"/>
      <c r="F64" s="61"/>
      <c r="G64" s="5"/>
      <c r="H64" s="5"/>
      <c r="I64" s="67"/>
      <c r="J64" s="5"/>
      <c r="K64" s="21"/>
      <c r="L64" s="21"/>
      <c r="M64" s="21">
        <f>K64+L64</f>
        <v>0</v>
      </c>
      <c r="N64" s="7">
        <f>J64*1.2</f>
        <v>0</v>
      </c>
      <c r="O64" s="7">
        <f>+M64-N64</f>
        <v>0</v>
      </c>
      <c r="P64" s="19">
        <f>F64-O64</f>
        <v>0</v>
      </c>
    </row>
    <row r="65" spans="1:16" ht="15" customHeight="1" x14ac:dyDescent="0.25">
      <c r="A65" s="412"/>
      <c r="B65" s="93"/>
      <c r="C65" s="31"/>
      <c r="D65" s="31"/>
      <c r="E65" s="114"/>
      <c r="F65" s="24"/>
      <c r="G65" s="37"/>
      <c r="H65" s="37"/>
      <c r="I65" s="37"/>
      <c r="J65" s="37"/>
      <c r="K65" s="24"/>
      <c r="L65" s="24"/>
      <c r="M65" s="24"/>
      <c r="N65" s="24"/>
      <c r="O65" s="24"/>
      <c r="P65" s="24"/>
    </row>
    <row r="66" spans="1:16" ht="30" customHeight="1" x14ac:dyDescent="0.25">
      <c r="A66" s="412"/>
      <c r="B66" s="14"/>
      <c r="C66" s="13"/>
      <c r="D66" s="13"/>
      <c r="E66" s="4"/>
      <c r="F66" s="61"/>
      <c r="G66" s="5"/>
      <c r="H66" s="5"/>
      <c r="I66" s="67"/>
      <c r="J66" s="5"/>
      <c r="K66" s="21"/>
      <c r="L66" s="21"/>
      <c r="M66" s="21">
        <f>K66+L66</f>
        <v>0</v>
      </c>
      <c r="N66" s="7">
        <f>J66*1.2</f>
        <v>0</v>
      </c>
      <c r="O66" s="7">
        <f>+M66-N66</f>
        <v>0</v>
      </c>
      <c r="P66" s="19">
        <f>F66-O66</f>
        <v>0</v>
      </c>
    </row>
    <row r="67" spans="1:16" ht="15" customHeight="1" x14ac:dyDescent="0.25">
      <c r="A67" s="412"/>
      <c r="B67" s="93"/>
      <c r="C67" s="31"/>
      <c r="D67" s="31"/>
      <c r="E67" s="114"/>
      <c r="F67" s="24"/>
      <c r="G67" s="37"/>
      <c r="H67" s="37"/>
      <c r="I67" s="37"/>
      <c r="J67" s="37"/>
      <c r="K67" s="24"/>
      <c r="L67" s="24"/>
      <c r="M67" s="24"/>
      <c r="N67" s="24"/>
      <c r="O67" s="24"/>
      <c r="P67" s="24"/>
    </row>
    <row r="68" spans="1:16" ht="42.75" customHeight="1" x14ac:dyDescent="0.25">
      <c r="A68" s="412"/>
      <c r="B68" s="12"/>
      <c r="C68" s="15"/>
      <c r="D68" s="15"/>
      <c r="E68" s="115"/>
      <c r="F68" s="24"/>
      <c r="G68" s="5"/>
      <c r="H68" s="5"/>
      <c r="I68" s="67"/>
      <c r="J68" s="5"/>
      <c r="K68" s="21"/>
      <c r="L68" s="21"/>
      <c r="M68" s="21">
        <f>K68+L68</f>
        <v>0</v>
      </c>
      <c r="N68" s="7">
        <f>J68*1.2</f>
        <v>0</v>
      </c>
      <c r="O68" s="7">
        <f>+M68-N68</f>
        <v>0</v>
      </c>
      <c r="P68" s="19">
        <f>F68-O68</f>
        <v>0</v>
      </c>
    </row>
    <row r="69" spans="1:16" x14ac:dyDescent="0.25">
      <c r="A69" s="64"/>
      <c r="B69" s="12"/>
      <c r="C69" s="15"/>
      <c r="D69" s="15"/>
      <c r="E69" s="1"/>
      <c r="F69" s="94" t="s">
        <v>70</v>
      </c>
      <c r="G69" s="5"/>
      <c r="H69" s="5"/>
      <c r="I69" s="5"/>
      <c r="J69" s="5"/>
      <c r="K69" s="414" t="s">
        <v>71</v>
      </c>
      <c r="L69" s="414"/>
      <c r="M69" s="1"/>
      <c r="N69" s="1"/>
      <c r="O69" s="1"/>
      <c r="P69" s="1"/>
    </row>
    <row r="70" spans="1:16" ht="18.75" x14ac:dyDescent="0.25">
      <c r="A70" s="86"/>
      <c r="B70" s="417" t="s">
        <v>25</v>
      </c>
      <c r="C70" s="417"/>
      <c r="D70" s="417"/>
      <c r="E70" s="417"/>
      <c r="F70" s="95">
        <f>SUM(F24:F69)</f>
        <v>5183665.4400000004</v>
      </c>
      <c r="G70" s="4"/>
      <c r="H70" s="4"/>
      <c r="I70" s="4"/>
      <c r="J70" s="4"/>
      <c r="K70" s="25">
        <f t="shared" ref="K70:P70" si="2">SUM(K6:K68)</f>
        <v>427558.52600000013</v>
      </c>
      <c r="L70" s="25">
        <f t="shared" si="2"/>
        <v>0</v>
      </c>
      <c r="M70" s="95">
        <f t="shared" si="2"/>
        <v>455246.5612</v>
      </c>
      <c r="N70" s="25">
        <f t="shared" si="2"/>
        <v>0</v>
      </c>
      <c r="O70" s="25">
        <f t="shared" si="2"/>
        <v>458644.16343999997</v>
      </c>
      <c r="P70" s="95">
        <f t="shared" si="2"/>
        <v>5204840.3657600023</v>
      </c>
    </row>
    <row r="71" spans="1:16" ht="15.75" x14ac:dyDescent="0.25">
      <c r="B71" s="1"/>
      <c r="C71" s="1"/>
      <c r="D71" s="1"/>
      <c r="E71" s="1"/>
      <c r="F71" s="1"/>
      <c r="G71" s="1"/>
      <c r="H71" s="1"/>
      <c r="I71" s="1"/>
      <c r="J71" s="1"/>
      <c r="K71" s="415">
        <f>K70+L70</f>
        <v>427558.52600000013</v>
      </c>
      <c r="L71" s="416"/>
      <c r="M71" s="1"/>
      <c r="N71" s="62" t="s">
        <v>80</v>
      </c>
      <c r="O71" s="96">
        <f>+M70-N70</f>
        <v>455246.5612</v>
      </c>
      <c r="P71" s="96"/>
    </row>
    <row r="72" spans="1:16" ht="17.25" customHeight="1" x14ac:dyDescent="0.25">
      <c r="B72" s="62" t="s">
        <v>72</v>
      </c>
      <c r="C72" s="62"/>
      <c r="D72" s="402" t="s">
        <v>69</v>
      </c>
      <c r="E72" s="402"/>
      <c r="F72" s="63">
        <f>F24+F31</f>
        <v>429956.21000000008</v>
      </c>
      <c r="G72" s="1"/>
      <c r="H72" s="1"/>
      <c r="I72" s="1"/>
      <c r="J72" s="1"/>
      <c r="K72" s="97" t="s">
        <v>53</v>
      </c>
      <c r="L72" s="98" t="s">
        <v>54</v>
      </c>
      <c r="M72" s="99"/>
      <c r="N72" s="99"/>
      <c r="O72" s="99"/>
      <c r="P72" s="99"/>
    </row>
    <row r="73" spans="1:16" x14ac:dyDescent="0.25">
      <c r="B73" s="1"/>
      <c r="C73" s="62"/>
      <c r="D73" s="402" t="s">
        <v>28</v>
      </c>
      <c r="E73" s="402"/>
      <c r="F73" s="63">
        <f>F70-F72</f>
        <v>4753709.2300000004</v>
      </c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25">
      <c r="B74" s="1"/>
      <c r="C74" s="1"/>
      <c r="D74" s="99" t="s">
        <v>41</v>
      </c>
      <c r="E74" s="105"/>
      <c r="F74" s="100"/>
      <c r="G74" s="1"/>
      <c r="H74" s="1"/>
      <c r="I74" s="1"/>
      <c r="J74" s="1"/>
      <c r="K74" s="50" t="s">
        <v>73</v>
      </c>
      <c r="L74" s="101">
        <f>K71/F70</f>
        <v>8.2481890652264023E-2</v>
      </c>
      <c r="M74" s="50"/>
      <c r="N74" s="50"/>
      <c r="O74" s="50"/>
      <c r="P74" s="50"/>
    </row>
    <row r="77" spans="1:16" x14ac:dyDescent="0.25">
      <c r="B77" s="393" t="s">
        <v>139</v>
      </c>
      <c r="C77" s="393"/>
      <c r="D77" s="393"/>
    </row>
    <row r="78" spans="1:16" x14ac:dyDescent="0.25">
      <c r="B78" s="105" t="s">
        <v>31</v>
      </c>
      <c r="C78" s="103" t="s">
        <v>143</v>
      </c>
      <c r="D78" s="103" t="s">
        <v>142</v>
      </c>
    </row>
    <row r="79" spans="1:16" x14ac:dyDescent="0.25">
      <c r="B79" s="1" t="s">
        <v>140</v>
      </c>
      <c r="C79" s="1">
        <v>424621.31</v>
      </c>
      <c r="D79" s="1">
        <v>91543.89</v>
      </c>
    </row>
    <row r="80" spans="1:16" x14ac:dyDescent="0.25">
      <c r="B80" s="1" t="s">
        <v>94</v>
      </c>
      <c r="C80" s="1">
        <v>5324.4</v>
      </c>
      <c r="D80" s="1">
        <v>5324.4</v>
      </c>
    </row>
    <row r="81" spans="2:4" x14ac:dyDescent="0.25">
      <c r="B81" s="1" t="s">
        <v>149</v>
      </c>
      <c r="C81" s="1">
        <f>SUM(C79:C80)</f>
        <v>429945.71</v>
      </c>
      <c r="D81" s="1">
        <f>SUM(D79:D80)</f>
        <v>96868.29</v>
      </c>
    </row>
    <row r="82" spans="2:4" x14ac:dyDescent="0.25">
      <c r="B82" s="105" t="s">
        <v>120</v>
      </c>
      <c r="C82" s="1" t="s">
        <v>144</v>
      </c>
      <c r="D82" s="1"/>
    </row>
    <row r="83" spans="2:4" x14ac:dyDescent="0.25">
      <c r="B83" s="1" t="s">
        <v>141</v>
      </c>
      <c r="C83" s="1">
        <v>474850.51</v>
      </c>
      <c r="D83" s="1">
        <v>192012.26</v>
      </c>
    </row>
    <row r="84" spans="2:4" x14ac:dyDescent="0.25">
      <c r="B84" s="1" t="s">
        <v>6</v>
      </c>
      <c r="C84" s="20">
        <v>4278858.72</v>
      </c>
      <c r="D84" s="1">
        <v>4278858.72</v>
      </c>
    </row>
    <row r="85" spans="2:4" x14ac:dyDescent="0.25">
      <c r="B85" s="1" t="s">
        <v>147</v>
      </c>
      <c r="C85" s="1">
        <f>SUM(C83:C84)</f>
        <v>4753709.2299999995</v>
      </c>
      <c r="D85" s="1">
        <f>SUM(D83:D84)</f>
        <v>4470870.9799999995</v>
      </c>
    </row>
    <row r="86" spans="2:4" x14ac:dyDescent="0.25">
      <c r="B86" s="1" t="s">
        <v>148</v>
      </c>
      <c r="C86" s="1">
        <f>C81+C85</f>
        <v>5183654.9399999995</v>
      </c>
      <c r="D86" s="1">
        <f>D81+D85</f>
        <v>4567739.2699999996</v>
      </c>
    </row>
  </sheetData>
  <mergeCells count="35">
    <mergeCell ref="K69:L69"/>
    <mergeCell ref="K71:L71"/>
    <mergeCell ref="B70:E70"/>
    <mergeCell ref="D72:E72"/>
    <mergeCell ref="F41:F42"/>
    <mergeCell ref="B33:B51"/>
    <mergeCell ref="B52:B58"/>
    <mergeCell ref="C56:C57"/>
    <mergeCell ref="A33:A68"/>
    <mergeCell ref="B6:B23"/>
    <mergeCell ref="C6:C23"/>
    <mergeCell ref="C25:C30"/>
    <mergeCell ref="B25:B30"/>
    <mergeCell ref="C33:C42"/>
    <mergeCell ref="C49:C50"/>
    <mergeCell ref="C43:C48"/>
    <mergeCell ref="A2:P2"/>
    <mergeCell ref="A3:P3"/>
    <mergeCell ref="N6:N23"/>
    <mergeCell ref="A6:A32"/>
    <mergeCell ref="D6:D13"/>
    <mergeCell ref="E20:E22"/>
    <mergeCell ref="F6:F13"/>
    <mergeCell ref="F14:F15"/>
    <mergeCell ref="E6:E15"/>
    <mergeCell ref="B77:D77"/>
    <mergeCell ref="E16:E19"/>
    <mergeCell ref="D14:D23"/>
    <mergeCell ref="F16:F19"/>
    <mergeCell ref="B24:E24"/>
    <mergeCell ref="D73:E73"/>
    <mergeCell ref="E41:E42"/>
    <mergeCell ref="D49:D50"/>
    <mergeCell ref="C54:C55"/>
    <mergeCell ref="E54:E55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7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63D9-893B-4658-9BD3-590F6F7F8ECD}">
  <dimension ref="A2:R89"/>
  <sheetViews>
    <sheetView zoomScale="85" zoomScaleNormal="85" workbookViewId="0">
      <pane ySplit="5" topLeftCell="A6" activePane="bottomLeft" state="frozenSplit"/>
      <selection pane="bottomLeft" activeCell="B6" sqref="B6:B23"/>
    </sheetView>
  </sheetViews>
  <sheetFormatPr baseColWidth="10" defaultRowHeight="15" x14ac:dyDescent="0.25"/>
  <cols>
    <col min="1" max="1" width="15.7109375" customWidth="1"/>
    <col min="2" max="2" width="24.140625" customWidth="1"/>
    <col min="3" max="3" width="31" bestFit="1" customWidth="1"/>
    <col min="4" max="4" width="25.7109375" customWidth="1"/>
    <col min="5" max="5" width="21.140625" customWidth="1"/>
    <col min="6" max="6" width="20.7109375" customWidth="1"/>
    <col min="7" max="10" width="13.140625" customWidth="1"/>
    <col min="11" max="11" width="22.5703125" customWidth="1"/>
    <col min="12" max="12" width="21.28515625" customWidth="1"/>
    <col min="13" max="15" width="22.5703125" customWidth="1"/>
    <col min="16" max="16" width="24.140625" customWidth="1"/>
    <col min="17" max="17" width="16.5703125" customWidth="1"/>
  </cols>
  <sheetData>
    <row r="2" spans="1:16" ht="20.25" x14ac:dyDescent="0.3">
      <c r="A2" s="366" t="s">
        <v>101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</row>
    <row r="3" spans="1:16" ht="20.25" x14ac:dyDescent="0.3">
      <c r="A3" s="366" t="s">
        <v>102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6"/>
    </row>
    <row r="5" spans="1:16" ht="66.75" customHeight="1" x14ac:dyDescent="0.25">
      <c r="A5" s="85" t="s">
        <v>0</v>
      </c>
      <c r="B5" s="3" t="s">
        <v>3</v>
      </c>
      <c r="C5" s="3" t="s">
        <v>161</v>
      </c>
      <c r="D5" s="3" t="s">
        <v>39</v>
      </c>
      <c r="E5" s="111" t="s">
        <v>164</v>
      </c>
      <c r="F5" s="71" t="s">
        <v>171</v>
      </c>
      <c r="G5" s="9" t="s">
        <v>68</v>
      </c>
      <c r="H5" s="9" t="s">
        <v>67</v>
      </c>
      <c r="I5" s="65" t="s">
        <v>74</v>
      </c>
      <c r="J5" s="65" t="s">
        <v>75</v>
      </c>
      <c r="K5" s="9" t="s">
        <v>77</v>
      </c>
      <c r="L5" s="66" t="s">
        <v>52</v>
      </c>
      <c r="M5" s="70" t="s">
        <v>78</v>
      </c>
      <c r="N5" s="68" t="s">
        <v>76</v>
      </c>
      <c r="O5" s="68" t="s">
        <v>79</v>
      </c>
      <c r="P5" s="70" t="s">
        <v>178</v>
      </c>
    </row>
    <row r="6" spans="1:16" ht="34.9" customHeight="1" x14ac:dyDescent="0.25">
      <c r="A6" s="407" t="s">
        <v>31</v>
      </c>
      <c r="B6" s="367" t="s">
        <v>82</v>
      </c>
      <c r="C6" s="395" t="s">
        <v>188</v>
      </c>
      <c r="D6" s="372" t="s">
        <v>189</v>
      </c>
      <c r="E6" s="394" t="s">
        <v>132</v>
      </c>
      <c r="F6" s="410">
        <v>46471.3</v>
      </c>
      <c r="G6" s="2" t="s">
        <v>11</v>
      </c>
      <c r="H6" s="2"/>
      <c r="I6" s="6">
        <v>10385.5</v>
      </c>
      <c r="J6" s="2"/>
      <c r="K6" s="123">
        <f>I6*1.2</f>
        <v>12462.6</v>
      </c>
      <c r="L6" s="123"/>
      <c r="M6" s="123">
        <f>K6*1.2</f>
        <v>14955.119999999999</v>
      </c>
      <c r="N6" s="425">
        <f>SUM(J6:J23)*1.2</f>
        <v>0</v>
      </c>
      <c r="O6" s="123">
        <f>M6*1.2</f>
        <v>17946.143999999997</v>
      </c>
      <c r="P6" s="124">
        <f>F24-O6</f>
        <v>406685.66600000008</v>
      </c>
    </row>
    <row r="7" spans="1:16" ht="34.9" customHeight="1" x14ac:dyDescent="0.25">
      <c r="A7" s="408"/>
      <c r="B7" s="367"/>
      <c r="C7" s="395"/>
      <c r="D7" s="373"/>
      <c r="E7" s="394"/>
      <c r="F7" s="410"/>
      <c r="G7" s="2" t="s">
        <v>12</v>
      </c>
      <c r="H7" s="2"/>
      <c r="I7" s="6">
        <v>16327.84</v>
      </c>
      <c r="J7" s="2"/>
      <c r="K7" s="123">
        <f t="shared" ref="K7:O21" si="0">I7*1.2</f>
        <v>19593.407999999999</v>
      </c>
      <c r="L7" s="123"/>
      <c r="M7" s="123">
        <f t="shared" si="0"/>
        <v>23512.089599999999</v>
      </c>
      <c r="N7" s="425"/>
      <c r="O7" s="123">
        <f t="shared" si="0"/>
        <v>28214.507519999999</v>
      </c>
      <c r="P7" s="124">
        <f>P6-O7</f>
        <v>378471.1584800001</v>
      </c>
    </row>
    <row r="8" spans="1:16" ht="34.9" customHeight="1" x14ac:dyDescent="0.25">
      <c r="A8" s="408"/>
      <c r="B8" s="367"/>
      <c r="C8" s="395"/>
      <c r="D8" s="373"/>
      <c r="E8" s="394"/>
      <c r="F8" s="410"/>
      <c r="G8" s="2" t="s">
        <v>17</v>
      </c>
      <c r="H8" s="2"/>
      <c r="I8" s="6">
        <v>4071.96</v>
      </c>
      <c r="J8" s="2"/>
      <c r="K8" s="123">
        <f t="shared" si="0"/>
        <v>4886.3519999999999</v>
      </c>
      <c r="L8" s="123"/>
      <c r="M8" s="123">
        <f t="shared" si="0"/>
        <v>5863.6223999999993</v>
      </c>
      <c r="N8" s="425"/>
      <c r="O8" s="123">
        <f t="shared" si="0"/>
        <v>7036.3468799999991</v>
      </c>
      <c r="P8" s="124">
        <f>P7-O8</f>
        <v>371434.81160000007</v>
      </c>
    </row>
    <row r="9" spans="1:16" ht="34.9" customHeight="1" x14ac:dyDescent="0.25">
      <c r="A9" s="408"/>
      <c r="B9" s="367"/>
      <c r="C9" s="395"/>
      <c r="D9" s="373"/>
      <c r="E9" s="394"/>
      <c r="F9" s="410"/>
      <c r="G9" s="2" t="s">
        <v>13</v>
      </c>
      <c r="H9" s="2"/>
      <c r="I9" s="6">
        <v>14917</v>
      </c>
      <c r="J9" s="2"/>
      <c r="K9" s="123">
        <f t="shared" si="0"/>
        <v>17900.399999999998</v>
      </c>
      <c r="L9" s="123"/>
      <c r="M9" s="123">
        <f t="shared" si="0"/>
        <v>21480.479999999996</v>
      </c>
      <c r="N9" s="425"/>
      <c r="O9" s="123">
        <f t="shared" si="0"/>
        <v>25776.575999999994</v>
      </c>
      <c r="P9" s="124">
        <f>P8-O9</f>
        <v>345658.23560000007</v>
      </c>
    </row>
    <row r="10" spans="1:16" ht="34.9" customHeight="1" x14ac:dyDescent="0.25">
      <c r="A10" s="408"/>
      <c r="B10" s="367"/>
      <c r="C10" s="395"/>
      <c r="D10" s="373"/>
      <c r="E10" s="394"/>
      <c r="F10" s="410"/>
      <c r="G10" s="2" t="s">
        <v>14</v>
      </c>
      <c r="H10" s="2"/>
      <c r="I10" s="6">
        <v>12953.99</v>
      </c>
      <c r="J10" s="2"/>
      <c r="K10" s="123">
        <f t="shared" si="0"/>
        <v>15544.787999999999</v>
      </c>
      <c r="L10" s="123"/>
      <c r="M10" s="123">
        <f t="shared" si="0"/>
        <v>18653.745599999998</v>
      </c>
      <c r="N10" s="425"/>
      <c r="O10" s="123">
        <f t="shared" si="0"/>
        <v>22384.494719999999</v>
      </c>
      <c r="P10" s="124">
        <f t="shared" ref="P10:P23" si="1">P9-O10</f>
        <v>323273.74088000006</v>
      </c>
    </row>
    <row r="11" spans="1:16" ht="34.9" customHeight="1" x14ac:dyDescent="0.25">
      <c r="A11" s="408"/>
      <c r="B11" s="367"/>
      <c r="C11" s="395"/>
      <c r="D11" s="373"/>
      <c r="E11" s="394"/>
      <c r="F11" s="410"/>
      <c r="G11" s="2" t="s">
        <v>15</v>
      </c>
      <c r="H11" s="2"/>
      <c r="I11" s="6">
        <v>6393</v>
      </c>
      <c r="J11" s="2"/>
      <c r="K11" s="123">
        <f t="shared" si="0"/>
        <v>7671.5999999999995</v>
      </c>
      <c r="L11" s="123"/>
      <c r="M11" s="123">
        <f t="shared" si="0"/>
        <v>9205.9199999999983</v>
      </c>
      <c r="N11" s="425"/>
      <c r="O11" s="123">
        <f t="shared" si="0"/>
        <v>11047.103999999998</v>
      </c>
      <c r="P11" s="124">
        <f t="shared" si="1"/>
        <v>312226.63688000006</v>
      </c>
    </row>
    <row r="12" spans="1:16" ht="34.9" customHeight="1" x14ac:dyDescent="0.25">
      <c r="A12" s="408"/>
      <c r="B12" s="367"/>
      <c r="C12" s="395"/>
      <c r="D12" s="373"/>
      <c r="E12" s="394"/>
      <c r="F12" s="410"/>
      <c r="G12" s="2" t="s">
        <v>16</v>
      </c>
      <c r="H12" s="2"/>
      <c r="I12" s="6">
        <v>2573.65</v>
      </c>
      <c r="J12" s="2"/>
      <c r="K12" s="123">
        <f t="shared" si="0"/>
        <v>3088.38</v>
      </c>
      <c r="L12" s="123"/>
      <c r="M12" s="123">
        <f t="shared" si="0"/>
        <v>3706.056</v>
      </c>
      <c r="N12" s="425"/>
      <c r="O12" s="123">
        <f t="shared" si="0"/>
        <v>4447.2672000000002</v>
      </c>
      <c r="P12" s="124">
        <f t="shared" si="1"/>
        <v>307779.36968000006</v>
      </c>
    </row>
    <row r="13" spans="1:16" ht="34.9" customHeight="1" x14ac:dyDescent="0.25">
      <c r="A13" s="408"/>
      <c r="B13" s="367"/>
      <c r="C13" s="395"/>
      <c r="D13" s="373"/>
      <c r="E13" s="394"/>
      <c r="F13" s="410"/>
      <c r="G13" s="2" t="s">
        <v>123</v>
      </c>
      <c r="H13" s="2"/>
      <c r="I13" s="6">
        <v>2573.64</v>
      </c>
      <c r="J13" s="2"/>
      <c r="K13" s="123">
        <f t="shared" si="0"/>
        <v>3088.3679999999999</v>
      </c>
      <c r="L13" s="123"/>
      <c r="M13" s="123">
        <f t="shared" si="0"/>
        <v>3706.0415999999996</v>
      </c>
      <c r="N13" s="425"/>
      <c r="O13" s="123">
        <f t="shared" si="0"/>
        <v>4447.2499199999993</v>
      </c>
      <c r="P13" s="124">
        <f t="shared" si="1"/>
        <v>303332.11976000009</v>
      </c>
    </row>
    <row r="14" spans="1:16" ht="34.9" customHeight="1" x14ac:dyDescent="0.25">
      <c r="A14" s="408"/>
      <c r="B14" s="367"/>
      <c r="C14" s="395"/>
      <c r="D14" s="373"/>
      <c r="E14" s="394"/>
      <c r="F14" s="410">
        <v>55027.9</v>
      </c>
      <c r="G14" s="2" t="s">
        <v>115</v>
      </c>
      <c r="H14" s="2"/>
      <c r="I14" s="6">
        <v>9410.77</v>
      </c>
      <c r="J14" s="2"/>
      <c r="K14" s="123">
        <f t="shared" si="0"/>
        <v>11292.924000000001</v>
      </c>
      <c r="L14" s="123"/>
      <c r="M14" s="123">
        <f t="shared" si="0"/>
        <v>13551.508800000001</v>
      </c>
      <c r="N14" s="425"/>
      <c r="O14" s="123">
        <f t="shared" si="0"/>
        <v>16261.810560000002</v>
      </c>
      <c r="P14" s="124">
        <f t="shared" si="1"/>
        <v>287070.30920000008</v>
      </c>
    </row>
    <row r="15" spans="1:16" ht="34.9" customHeight="1" x14ac:dyDescent="0.25">
      <c r="A15" s="408"/>
      <c r="B15" s="367"/>
      <c r="C15" s="395"/>
      <c r="D15" s="373"/>
      <c r="E15" s="394"/>
      <c r="F15" s="410"/>
      <c r="G15" s="2" t="s">
        <v>124</v>
      </c>
      <c r="H15" s="2"/>
      <c r="I15" s="6">
        <v>22594.3</v>
      </c>
      <c r="J15" s="2"/>
      <c r="K15" s="123">
        <f t="shared" si="0"/>
        <v>27113.16</v>
      </c>
      <c r="L15" s="123"/>
      <c r="M15" s="123">
        <f t="shared" si="0"/>
        <v>32535.791999999998</v>
      </c>
      <c r="N15" s="425"/>
      <c r="O15" s="123">
        <f t="shared" si="0"/>
        <v>39042.950399999994</v>
      </c>
      <c r="P15" s="124">
        <f t="shared" si="1"/>
        <v>248027.35880000007</v>
      </c>
    </row>
    <row r="16" spans="1:16" ht="34.9" customHeight="1" x14ac:dyDescent="0.25">
      <c r="A16" s="408"/>
      <c r="B16" s="367"/>
      <c r="C16" s="395"/>
      <c r="D16" s="373"/>
      <c r="E16" s="394" t="s">
        <v>185</v>
      </c>
      <c r="F16" s="396">
        <v>87777.42</v>
      </c>
      <c r="G16" s="2" t="s">
        <v>125</v>
      </c>
      <c r="H16" s="2"/>
      <c r="I16" s="6">
        <v>5648.57</v>
      </c>
      <c r="J16" s="2"/>
      <c r="K16" s="123">
        <f t="shared" si="0"/>
        <v>6778.2839999999997</v>
      </c>
      <c r="L16" s="123"/>
      <c r="M16" s="123">
        <f t="shared" si="0"/>
        <v>8133.9407999999994</v>
      </c>
      <c r="N16" s="425"/>
      <c r="O16" s="123">
        <f t="shared" si="0"/>
        <v>9760.7289599999986</v>
      </c>
      <c r="P16" s="124">
        <f t="shared" si="1"/>
        <v>238266.62984000007</v>
      </c>
    </row>
    <row r="17" spans="1:18" ht="34.9" customHeight="1" x14ac:dyDescent="0.25">
      <c r="A17" s="408"/>
      <c r="B17" s="367"/>
      <c r="C17" s="395"/>
      <c r="D17" s="373"/>
      <c r="E17" s="394"/>
      <c r="F17" s="397"/>
      <c r="G17" s="2" t="s">
        <v>126</v>
      </c>
      <c r="H17" s="2"/>
      <c r="I17" s="6">
        <v>26519.14</v>
      </c>
      <c r="J17" s="2"/>
      <c r="K17" s="123">
        <f t="shared" si="0"/>
        <v>31822.967999999997</v>
      </c>
      <c r="L17" s="123"/>
      <c r="M17" s="123">
        <f t="shared" si="0"/>
        <v>38187.561599999994</v>
      </c>
      <c r="N17" s="425"/>
      <c r="O17" s="123">
        <f t="shared" si="0"/>
        <v>45825.073919999988</v>
      </c>
      <c r="P17" s="124">
        <f t="shared" si="1"/>
        <v>192441.55592000007</v>
      </c>
    </row>
    <row r="18" spans="1:18" ht="34.9" customHeight="1" x14ac:dyDescent="0.25">
      <c r="A18" s="408"/>
      <c r="B18" s="367"/>
      <c r="C18" s="395"/>
      <c r="D18" s="373"/>
      <c r="E18" s="394"/>
      <c r="F18" s="397"/>
      <c r="G18" s="2" t="s">
        <v>127</v>
      </c>
      <c r="H18" s="2"/>
      <c r="I18" s="6">
        <v>17133.080000000002</v>
      </c>
      <c r="J18" s="2"/>
      <c r="K18" s="123">
        <f t="shared" si="0"/>
        <v>20559.696</v>
      </c>
      <c r="L18" s="123"/>
      <c r="M18" s="123">
        <f t="shared" si="0"/>
        <v>24671.635200000001</v>
      </c>
      <c r="N18" s="425"/>
      <c r="O18" s="123">
        <f t="shared" si="0"/>
        <v>29605.962240000001</v>
      </c>
      <c r="P18" s="124">
        <f t="shared" si="1"/>
        <v>162835.59368000008</v>
      </c>
    </row>
    <row r="19" spans="1:18" ht="34.9" customHeight="1" x14ac:dyDescent="0.25">
      <c r="A19" s="408"/>
      <c r="B19" s="367"/>
      <c r="C19" s="395"/>
      <c r="D19" s="373"/>
      <c r="E19" s="394"/>
      <c r="F19" s="398"/>
      <c r="G19" s="2" t="s">
        <v>128</v>
      </c>
      <c r="H19" s="2"/>
      <c r="I19" s="6">
        <v>11365.35</v>
      </c>
      <c r="J19" s="2"/>
      <c r="K19" s="123">
        <f t="shared" si="0"/>
        <v>13638.42</v>
      </c>
      <c r="L19" s="123"/>
      <c r="M19" s="123">
        <f t="shared" si="0"/>
        <v>16366.103999999999</v>
      </c>
      <c r="N19" s="425"/>
      <c r="O19" s="123">
        <f t="shared" si="0"/>
        <v>19639.324799999999</v>
      </c>
      <c r="P19" s="124">
        <f t="shared" si="1"/>
        <v>143196.26888000008</v>
      </c>
    </row>
    <row r="20" spans="1:18" ht="34.9" customHeight="1" x14ac:dyDescent="0.25">
      <c r="A20" s="408"/>
      <c r="B20" s="367"/>
      <c r="C20" s="395"/>
      <c r="D20" s="373"/>
      <c r="E20" s="394" t="s">
        <v>186</v>
      </c>
      <c r="F20" s="82">
        <v>209528.79</v>
      </c>
      <c r="G20" s="2" t="s">
        <v>129</v>
      </c>
      <c r="H20" s="2"/>
      <c r="I20" s="6">
        <v>10761</v>
      </c>
      <c r="J20" s="2"/>
      <c r="K20" s="123">
        <f t="shared" si="0"/>
        <v>12913.199999999999</v>
      </c>
      <c r="L20" s="123"/>
      <c r="M20" s="123">
        <f t="shared" si="0"/>
        <v>15495.839999999998</v>
      </c>
      <c r="N20" s="425"/>
      <c r="O20" s="123">
        <f t="shared" si="0"/>
        <v>18595.007999999998</v>
      </c>
      <c r="P20" s="124">
        <f t="shared" si="1"/>
        <v>124601.26088000007</v>
      </c>
    </row>
    <row r="21" spans="1:18" ht="34.9" customHeight="1" x14ac:dyDescent="0.25">
      <c r="A21" s="408"/>
      <c r="B21" s="367"/>
      <c r="C21" s="395"/>
      <c r="D21" s="373"/>
      <c r="E21" s="394"/>
      <c r="F21" s="83"/>
      <c r="G21" s="2" t="s">
        <v>130</v>
      </c>
      <c r="H21" s="2"/>
      <c r="I21" s="6">
        <v>7720.94</v>
      </c>
      <c r="J21" s="2"/>
      <c r="K21" s="123">
        <f t="shared" si="0"/>
        <v>9265.1279999999988</v>
      </c>
      <c r="L21" s="123"/>
      <c r="M21" s="123">
        <f t="shared" si="0"/>
        <v>11118.153599999998</v>
      </c>
      <c r="N21" s="425"/>
      <c r="O21" s="123">
        <f t="shared" si="0"/>
        <v>13341.784319999997</v>
      </c>
      <c r="P21" s="124">
        <f t="shared" si="1"/>
        <v>111259.47656000008</v>
      </c>
    </row>
    <row r="22" spans="1:18" ht="34.9" customHeight="1" x14ac:dyDescent="0.25">
      <c r="A22" s="408"/>
      <c r="B22" s="367"/>
      <c r="C22" s="395"/>
      <c r="D22" s="373"/>
      <c r="E22" s="394"/>
      <c r="F22" s="84"/>
      <c r="G22" s="2" t="s">
        <v>131</v>
      </c>
      <c r="H22" s="2"/>
      <c r="I22" s="6">
        <v>4843.2</v>
      </c>
      <c r="J22" s="2"/>
      <c r="K22" s="123">
        <v>5811.83</v>
      </c>
      <c r="L22" s="123"/>
      <c r="M22" s="123">
        <v>5811.83</v>
      </c>
      <c r="N22" s="425"/>
      <c r="O22" s="123">
        <v>5811.83</v>
      </c>
      <c r="P22" s="124">
        <f t="shared" si="1"/>
        <v>105447.64656000008</v>
      </c>
    </row>
    <row r="23" spans="1:18" ht="34.9" customHeight="1" x14ac:dyDescent="0.25">
      <c r="A23" s="408"/>
      <c r="B23" s="367"/>
      <c r="C23" s="395"/>
      <c r="D23" s="421"/>
      <c r="E23" s="87" t="s">
        <v>187</v>
      </c>
      <c r="F23" s="76">
        <v>25826.400000000001</v>
      </c>
      <c r="G23" s="2" t="s">
        <v>114</v>
      </c>
      <c r="H23" s="2"/>
      <c r="I23" s="6">
        <v>11586.45</v>
      </c>
      <c r="J23" s="2"/>
      <c r="K23" s="123">
        <v>13903.76</v>
      </c>
      <c r="L23" s="123"/>
      <c r="M23" s="123">
        <v>13903.76</v>
      </c>
      <c r="N23" s="425"/>
      <c r="O23" s="123">
        <v>13903.76</v>
      </c>
      <c r="P23" s="124">
        <f t="shared" si="1"/>
        <v>91543.886560000086</v>
      </c>
      <c r="R23" s="74"/>
    </row>
    <row r="24" spans="1:18" ht="34.9" customHeight="1" x14ac:dyDescent="0.25">
      <c r="A24" s="408"/>
      <c r="B24" s="399" t="s">
        <v>136</v>
      </c>
      <c r="C24" s="400"/>
      <c r="D24" s="400"/>
      <c r="E24" s="401"/>
      <c r="F24" s="76">
        <f>SUM(F6:F23)</f>
        <v>424631.81000000006</v>
      </c>
      <c r="G24" s="2"/>
      <c r="H24" s="2"/>
      <c r="I24" s="6"/>
      <c r="J24" s="2"/>
      <c r="K24" s="123"/>
      <c r="L24" s="123"/>
      <c r="M24" s="123"/>
      <c r="N24" s="125"/>
      <c r="O24" s="123"/>
      <c r="P24" s="124"/>
      <c r="R24" s="74"/>
    </row>
    <row r="25" spans="1:18" ht="14.25" customHeight="1" x14ac:dyDescent="0.25">
      <c r="A25" s="408"/>
      <c r="B25" s="367" t="s">
        <v>85</v>
      </c>
      <c r="C25" s="423" t="s">
        <v>86</v>
      </c>
      <c r="D25" s="1"/>
      <c r="E25" s="112" t="s">
        <v>87</v>
      </c>
      <c r="F25" s="74">
        <v>5904</v>
      </c>
      <c r="G25" s="73">
        <v>1916</v>
      </c>
      <c r="H25" s="73"/>
      <c r="I25" s="74">
        <v>4920</v>
      </c>
      <c r="J25" s="73"/>
      <c r="K25" s="124">
        <v>5904</v>
      </c>
      <c r="L25" s="124"/>
      <c r="M25" s="124">
        <v>5904</v>
      </c>
      <c r="N25" s="124"/>
      <c r="O25" s="124">
        <v>5904</v>
      </c>
      <c r="P25" s="126">
        <f>O25-F25</f>
        <v>0</v>
      </c>
      <c r="R25" s="74"/>
    </row>
    <row r="26" spans="1:18" ht="14.25" customHeight="1" x14ac:dyDescent="0.25">
      <c r="A26" s="408"/>
      <c r="B26" s="367"/>
      <c r="C26" s="424"/>
      <c r="D26" s="72"/>
      <c r="E26" s="112" t="s">
        <v>88</v>
      </c>
      <c r="F26" s="74">
        <v>3996</v>
      </c>
      <c r="G26" s="73" t="s">
        <v>89</v>
      </c>
      <c r="H26" s="73"/>
      <c r="I26" s="74">
        <v>3330</v>
      </c>
      <c r="J26" s="73"/>
      <c r="K26" s="124">
        <v>3996</v>
      </c>
      <c r="L26" s="124"/>
      <c r="M26" s="124">
        <v>3996</v>
      </c>
      <c r="N26" s="124"/>
      <c r="O26" s="124">
        <v>3996</v>
      </c>
      <c r="P26" s="126"/>
      <c r="R26" s="76"/>
    </row>
    <row r="27" spans="1:18" ht="14.25" customHeight="1" x14ac:dyDescent="0.25">
      <c r="A27" s="408"/>
      <c r="B27" s="367"/>
      <c r="C27" s="424"/>
      <c r="D27" s="72"/>
      <c r="E27" s="113" t="s">
        <v>90</v>
      </c>
      <c r="F27" s="74">
        <v>2040</v>
      </c>
      <c r="G27" s="73" t="s">
        <v>96</v>
      </c>
      <c r="H27" s="2"/>
      <c r="I27" s="74">
        <v>1700</v>
      </c>
      <c r="J27" s="73"/>
      <c r="K27" s="124">
        <v>2040</v>
      </c>
      <c r="L27" s="124"/>
      <c r="M27" s="124">
        <v>2040</v>
      </c>
      <c r="N27" s="124"/>
      <c r="O27" s="124">
        <v>2040</v>
      </c>
      <c r="P27" s="126">
        <f>O27-F27</f>
        <v>0</v>
      </c>
      <c r="R27" s="76"/>
    </row>
    <row r="28" spans="1:18" ht="34.9" customHeight="1" x14ac:dyDescent="0.25">
      <c r="A28" s="408"/>
      <c r="B28" s="367"/>
      <c r="C28" s="424"/>
      <c r="D28" s="13"/>
      <c r="E28" s="112" t="s">
        <v>91</v>
      </c>
      <c r="F28" s="76">
        <v>348</v>
      </c>
      <c r="G28" s="2" t="s">
        <v>92</v>
      </c>
      <c r="I28" s="6">
        <v>290</v>
      </c>
      <c r="J28" s="2"/>
      <c r="K28" s="127">
        <v>348</v>
      </c>
      <c r="L28" s="127"/>
      <c r="M28" s="127">
        <v>348</v>
      </c>
      <c r="N28" s="127"/>
      <c r="O28" s="127">
        <f>+M28-N28</f>
        <v>348</v>
      </c>
      <c r="P28" s="126">
        <f>O28-F28</f>
        <v>0</v>
      </c>
      <c r="R28" s="74"/>
    </row>
    <row r="29" spans="1:18" ht="34.9" customHeight="1" x14ac:dyDescent="0.25">
      <c r="A29" s="408"/>
      <c r="B29" s="367"/>
      <c r="C29" s="424"/>
      <c r="D29" s="13"/>
      <c r="E29" s="112" t="s">
        <v>112</v>
      </c>
      <c r="F29" s="76">
        <v>480</v>
      </c>
      <c r="G29" s="2" t="s">
        <v>113</v>
      </c>
      <c r="H29" s="2"/>
      <c r="I29" s="6">
        <v>400</v>
      </c>
      <c r="J29" s="2"/>
      <c r="K29" s="127">
        <v>480</v>
      </c>
      <c r="L29" s="127"/>
      <c r="M29" s="127">
        <v>480</v>
      </c>
      <c r="N29" s="127"/>
      <c r="O29" s="127">
        <v>480</v>
      </c>
      <c r="P29" s="126">
        <f>O29-F29</f>
        <v>0</v>
      </c>
      <c r="R29" s="104"/>
    </row>
    <row r="30" spans="1:18" ht="14.25" customHeight="1" x14ac:dyDescent="0.25">
      <c r="A30" s="408"/>
      <c r="B30" s="367"/>
      <c r="C30" s="405"/>
      <c r="D30" s="72"/>
      <c r="E30" s="112" t="s">
        <v>93</v>
      </c>
      <c r="F30" s="74">
        <v>996</v>
      </c>
      <c r="G30" s="73"/>
      <c r="H30" s="73"/>
      <c r="I30" s="74"/>
      <c r="J30" s="73"/>
      <c r="K30" s="124"/>
      <c r="L30" s="124"/>
      <c r="M30" s="124"/>
      <c r="N30" s="124"/>
      <c r="O30" s="124"/>
      <c r="P30" s="126">
        <f>O30-F30</f>
        <v>-996</v>
      </c>
    </row>
    <row r="31" spans="1:18" ht="34.9" customHeight="1" x14ac:dyDescent="0.25">
      <c r="A31" s="408"/>
      <c r="B31" s="12" t="s">
        <v>94</v>
      </c>
      <c r="C31" s="119" t="s">
        <v>175</v>
      </c>
      <c r="D31" s="13"/>
      <c r="E31" s="112" t="s">
        <v>151</v>
      </c>
      <c r="F31" s="76">
        <v>5324.4</v>
      </c>
      <c r="G31" s="2"/>
      <c r="H31" s="2"/>
      <c r="I31" s="6"/>
      <c r="J31" s="2"/>
      <c r="K31" s="127"/>
      <c r="L31" s="127"/>
      <c r="M31" s="127"/>
      <c r="N31" s="127">
        <f>J31*1.2</f>
        <v>0</v>
      </c>
      <c r="O31" s="127">
        <f>+M31-N31</f>
        <v>0</v>
      </c>
      <c r="P31" s="128">
        <f>+F31-O31</f>
        <v>5324.4</v>
      </c>
    </row>
    <row r="32" spans="1:18" ht="34.5" customHeight="1" x14ac:dyDescent="0.25">
      <c r="A32" s="409"/>
      <c r="B32" s="77" t="s">
        <v>97</v>
      </c>
      <c r="C32" s="121" t="s">
        <v>176</v>
      </c>
      <c r="D32" s="78"/>
      <c r="E32" s="112" t="s">
        <v>99</v>
      </c>
      <c r="F32" s="76">
        <v>31650</v>
      </c>
      <c r="G32" s="73" t="s">
        <v>177</v>
      </c>
      <c r="H32" s="73"/>
      <c r="I32" s="74">
        <v>13755</v>
      </c>
      <c r="J32" s="73"/>
      <c r="K32" s="129"/>
      <c r="L32" s="129"/>
      <c r="M32" s="129">
        <f>(I32+J32)*1.2</f>
        <v>16506</v>
      </c>
      <c r="N32" s="129"/>
      <c r="O32" s="129"/>
      <c r="P32" s="129"/>
      <c r="R32" s="104"/>
    </row>
    <row r="33" spans="1:16" ht="34.9" customHeight="1" x14ac:dyDescent="0.25">
      <c r="A33" s="385" t="s">
        <v>181</v>
      </c>
      <c r="B33" s="388" t="s">
        <v>103</v>
      </c>
      <c r="C33" s="423" t="s">
        <v>105</v>
      </c>
      <c r="D33" s="13"/>
      <c r="E33" s="87" t="s">
        <v>104</v>
      </c>
      <c r="F33" s="20">
        <v>112867.63</v>
      </c>
      <c r="G33" s="2">
        <v>2200182</v>
      </c>
      <c r="H33" s="2"/>
      <c r="I33" s="6">
        <v>10224.1</v>
      </c>
      <c r="J33" s="2"/>
      <c r="K33" s="125">
        <v>12268.92</v>
      </c>
      <c r="L33" s="125"/>
      <c r="M33" s="123">
        <v>12268.92</v>
      </c>
      <c r="N33" s="123">
        <f>(J33+J37)*1.2</f>
        <v>0</v>
      </c>
      <c r="O33" s="123">
        <v>12268.92</v>
      </c>
      <c r="P33" s="126">
        <f>F33-O33</f>
        <v>100598.71</v>
      </c>
    </row>
    <row r="34" spans="1:16" ht="34.9" customHeight="1" x14ac:dyDescent="0.25">
      <c r="A34" s="386"/>
      <c r="B34" s="419"/>
      <c r="C34" s="424"/>
      <c r="D34" s="13"/>
      <c r="E34" s="87"/>
      <c r="F34" s="20"/>
      <c r="G34" s="2">
        <v>2200242</v>
      </c>
      <c r="H34" s="2"/>
      <c r="I34" s="6">
        <v>6026.9</v>
      </c>
      <c r="J34" s="2"/>
      <c r="K34" s="125">
        <v>7232.28</v>
      </c>
      <c r="L34" s="125"/>
      <c r="M34" s="123">
        <v>7232.28</v>
      </c>
      <c r="N34" s="123"/>
      <c r="O34" s="123">
        <v>7232.28</v>
      </c>
      <c r="P34" s="126">
        <f>P33-O34</f>
        <v>93366.430000000008</v>
      </c>
    </row>
    <row r="35" spans="1:16" ht="34.9" customHeight="1" x14ac:dyDescent="0.25">
      <c r="A35" s="386"/>
      <c r="B35" s="419"/>
      <c r="C35" s="424"/>
      <c r="D35" s="13"/>
      <c r="E35" s="87"/>
      <c r="F35" s="20"/>
      <c r="G35" s="2">
        <v>2200293</v>
      </c>
      <c r="H35" s="2"/>
      <c r="I35" s="6">
        <v>7091.29</v>
      </c>
      <c r="J35" s="2"/>
      <c r="K35" s="125">
        <v>8509.9500000000007</v>
      </c>
      <c r="L35" s="125"/>
      <c r="M35" s="123">
        <v>8509.9500000000007</v>
      </c>
      <c r="N35" s="123"/>
      <c r="O35" s="123">
        <v>8509.9500000000007</v>
      </c>
      <c r="P35" s="126">
        <f>P34-O35</f>
        <v>84856.48000000001</v>
      </c>
    </row>
    <row r="36" spans="1:16" ht="34.9" customHeight="1" x14ac:dyDescent="0.25">
      <c r="A36" s="386"/>
      <c r="B36" s="419"/>
      <c r="C36" s="424"/>
      <c r="D36" s="13"/>
      <c r="E36" s="87"/>
      <c r="F36" s="20"/>
      <c r="G36" s="2">
        <v>2200370</v>
      </c>
      <c r="H36" s="2"/>
      <c r="I36" s="6">
        <v>2278.65</v>
      </c>
      <c r="J36" s="2"/>
      <c r="K36" s="125">
        <v>2734.38</v>
      </c>
      <c r="L36" s="125"/>
      <c r="M36" s="123">
        <v>2734.38</v>
      </c>
      <c r="N36" s="123"/>
      <c r="O36" s="123">
        <v>2734.38</v>
      </c>
      <c r="P36" s="126">
        <f>P35-O36</f>
        <v>82122.100000000006</v>
      </c>
    </row>
    <row r="37" spans="1:16" ht="34.9" customHeight="1" x14ac:dyDescent="0.25">
      <c r="A37" s="386"/>
      <c r="B37" s="419"/>
      <c r="C37" s="424"/>
      <c r="D37" s="60"/>
      <c r="E37" s="87"/>
      <c r="F37" s="20"/>
      <c r="G37" s="79">
        <v>2200400</v>
      </c>
      <c r="H37" s="52"/>
      <c r="I37" s="6">
        <v>5029.8900000000003</v>
      </c>
      <c r="J37" s="52"/>
      <c r="K37" s="125">
        <v>6035.87</v>
      </c>
      <c r="L37" s="59"/>
      <c r="M37" s="123">
        <v>6035.87</v>
      </c>
      <c r="N37" s="123"/>
      <c r="O37" s="123">
        <v>6035.87</v>
      </c>
      <c r="P37" s="126">
        <f>P36-O37</f>
        <v>76086.23000000001</v>
      </c>
    </row>
    <row r="38" spans="1:16" ht="34.9" customHeight="1" x14ac:dyDescent="0.25">
      <c r="A38" s="386"/>
      <c r="B38" s="419"/>
      <c r="C38" s="424"/>
      <c r="D38" s="60"/>
      <c r="E38" s="87"/>
      <c r="F38" s="20"/>
      <c r="G38" s="79"/>
      <c r="H38" s="52"/>
      <c r="I38" s="6"/>
      <c r="J38" s="52"/>
      <c r="K38" s="125"/>
      <c r="L38" s="59"/>
      <c r="M38" s="123"/>
      <c r="N38" s="123"/>
      <c r="O38" s="123">
        <f>SUM(O33:O37)</f>
        <v>36781.4</v>
      </c>
      <c r="P38" s="126"/>
    </row>
    <row r="39" spans="1:16" ht="34.9" customHeight="1" x14ac:dyDescent="0.25">
      <c r="A39" s="386"/>
      <c r="B39" s="419"/>
      <c r="C39" s="424"/>
      <c r="D39" s="60"/>
      <c r="E39" s="87"/>
      <c r="F39" s="20"/>
      <c r="G39" s="79"/>
      <c r="H39" s="52"/>
      <c r="I39" s="6"/>
      <c r="J39" s="52"/>
      <c r="K39" s="125"/>
      <c r="L39" s="59"/>
      <c r="M39" s="123"/>
      <c r="N39" s="123"/>
      <c r="O39" s="123"/>
      <c r="P39" s="126"/>
    </row>
    <row r="40" spans="1:16" ht="34.9" customHeight="1" x14ac:dyDescent="0.25">
      <c r="A40" s="386"/>
      <c r="B40" s="419"/>
      <c r="C40" s="424"/>
      <c r="D40" s="60"/>
      <c r="E40" s="87" t="s">
        <v>118</v>
      </c>
      <c r="F40" s="20">
        <v>10840.32</v>
      </c>
      <c r="G40" s="79"/>
      <c r="H40" s="52"/>
      <c r="I40" s="6"/>
      <c r="J40" s="52"/>
      <c r="K40" s="125"/>
      <c r="L40" s="59"/>
      <c r="M40" s="123"/>
      <c r="N40" s="123"/>
      <c r="O40" s="123"/>
      <c r="P40" s="126"/>
    </row>
    <row r="41" spans="1:16" ht="14.25" customHeight="1" x14ac:dyDescent="0.25">
      <c r="A41" s="386"/>
      <c r="B41" s="419"/>
      <c r="C41" s="424"/>
      <c r="D41" s="78"/>
      <c r="E41" s="403" t="s">
        <v>108</v>
      </c>
      <c r="F41" s="418">
        <v>95618.57</v>
      </c>
      <c r="G41" s="73">
        <v>2200387</v>
      </c>
      <c r="H41" s="73"/>
      <c r="I41" s="74">
        <v>26951.58</v>
      </c>
      <c r="J41" s="73"/>
      <c r="K41" s="130">
        <v>32341.9</v>
      </c>
      <c r="L41" s="130"/>
      <c r="M41" s="130"/>
      <c r="N41" s="130"/>
      <c r="O41" s="130"/>
      <c r="P41" s="131"/>
    </row>
    <row r="42" spans="1:16" ht="14.25" customHeight="1" x14ac:dyDescent="0.25">
      <c r="A42" s="386"/>
      <c r="B42" s="419"/>
      <c r="C42" s="405"/>
      <c r="D42" s="78"/>
      <c r="E42" s="403"/>
      <c r="F42" s="418"/>
      <c r="G42" s="73"/>
      <c r="H42" s="73"/>
      <c r="I42" s="74"/>
      <c r="J42" s="73"/>
      <c r="K42" s="130"/>
      <c r="L42" s="130"/>
      <c r="M42" s="130"/>
      <c r="N42" s="130"/>
      <c r="O42" s="130"/>
      <c r="P42" s="131"/>
    </row>
    <row r="43" spans="1:16" ht="34.9" customHeight="1" x14ac:dyDescent="0.25">
      <c r="A43" s="386"/>
      <c r="B43" s="419"/>
      <c r="C43" s="423" t="s">
        <v>106</v>
      </c>
      <c r="D43" s="13"/>
      <c r="E43" s="87" t="s">
        <v>109</v>
      </c>
      <c r="F43" s="20">
        <v>17170.02</v>
      </c>
      <c r="G43" s="2">
        <v>692205091</v>
      </c>
      <c r="H43" s="2"/>
      <c r="I43" s="6">
        <v>14308.35</v>
      </c>
      <c r="J43" s="2"/>
      <c r="K43" s="132">
        <v>17170.02</v>
      </c>
      <c r="L43" s="133"/>
      <c r="M43" s="134">
        <v>17170.02</v>
      </c>
      <c r="N43" s="134"/>
      <c r="O43" s="134">
        <v>17170.02</v>
      </c>
      <c r="P43" s="135">
        <f>F43-O43</f>
        <v>0</v>
      </c>
    </row>
    <row r="44" spans="1:16" ht="34.9" customHeight="1" x14ac:dyDescent="0.25">
      <c r="A44" s="386"/>
      <c r="B44" s="419"/>
      <c r="C44" s="424"/>
      <c r="D44" s="13"/>
      <c r="E44" s="87" t="s">
        <v>110</v>
      </c>
      <c r="F44" s="20">
        <v>12232.8</v>
      </c>
      <c r="G44" s="2">
        <v>692206006</v>
      </c>
      <c r="H44" s="2"/>
      <c r="I44" s="6">
        <v>10194</v>
      </c>
      <c r="J44" s="2"/>
      <c r="K44" s="132">
        <v>12232.8</v>
      </c>
      <c r="L44" s="133"/>
      <c r="M44" s="134">
        <v>12232.8</v>
      </c>
      <c r="N44" s="134"/>
      <c r="O44" s="134">
        <v>12232.8</v>
      </c>
      <c r="P44" s="135"/>
    </row>
    <row r="45" spans="1:16" ht="34.9" customHeight="1" x14ac:dyDescent="0.25">
      <c r="A45" s="386"/>
      <c r="B45" s="419"/>
      <c r="C45" s="424"/>
      <c r="D45" s="10"/>
      <c r="E45" s="87" t="s">
        <v>111</v>
      </c>
      <c r="F45" s="20">
        <v>14262.12</v>
      </c>
      <c r="G45" s="2">
        <v>692206007</v>
      </c>
      <c r="H45" s="2"/>
      <c r="I45" s="6">
        <v>11885.1</v>
      </c>
      <c r="J45" s="2"/>
      <c r="K45" s="132">
        <v>14262.12</v>
      </c>
      <c r="L45" s="133"/>
      <c r="M45" s="134">
        <v>14262.12</v>
      </c>
      <c r="N45" s="134"/>
      <c r="O45" s="134">
        <v>14262.12</v>
      </c>
      <c r="P45" s="135"/>
    </row>
    <row r="46" spans="1:16" ht="34.9" customHeight="1" x14ac:dyDescent="0.25">
      <c r="A46" s="386"/>
      <c r="B46" s="419"/>
      <c r="C46" s="424"/>
      <c r="D46" s="10"/>
      <c r="E46" s="87" t="s">
        <v>116</v>
      </c>
      <c r="F46" s="20">
        <v>5675.04</v>
      </c>
      <c r="G46" s="2"/>
      <c r="H46" s="2"/>
      <c r="I46" s="6"/>
      <c r="J46" s="2"/>
      <c r="K46" s="132"/>
      <c r="L46" s="133"/>
      <c r="M46" s="134"/>
      <c r="N46" s="134"/>
      <c r="O46" s="134"/>
      <c r="P46" s="135">
        <v>5675.04</v>
      </c>
    </row>
    <row r="47" spans="1:16" ht="34.9" customHeight="1" x14ac:dyDescent="0.25">
      <c r="A47" s="386"/>
      <c r="B47" s="419"/>
      <c r="C47" s="424"/>
      <c r="D47" s="10"/>
      <c r="E47" s="87" t="s">
        <v>117</v>
      </c>
      <c r="F47" s="20">
        <v>77114.399999999994</v>
      </c>
      <c r="G47" s="2">
        <v>692210015</v>
      </c>
      <c r="H47" s="2"/>
      <c r="I47" s="6">
        <v>26937.599999999999</v>
      </c>
      <c r="J47" s="2"/>
      <c r="K47" s="132">
        <v>32325.119999999999</v>
      </c>
      <c r="L47" s="133"/>
      <c r="M47" s="134">
        <v>32325.119999999999</v>
      </c>
      <c r="N47" s="134"/>
      <c r="O47" s="134"/>
      <c r="P47" s="135">
        <f>F47-M47</f>
        <v>44789.279999999999</v>
      </c>
    </row>
    <row r="48" spans="1:16" ht="34.9" customHeight="1" x14ac:dyDescent="0.25">
      <c r="A48" s="386"/>
      <c r="B48" s="419"/>
      <c r="C48" s="405"/>
      <c r="D48" s="10"/>
      <c r="E48" s="87"/>
      <c r="F48" s="20"/>
      <c r="G48" s="2"/>
      <c r="H48" s="2"/>
      <c r="I48" s="6"/>
      <c r="J48" s="2"/>
      <c r="K48" s="132"/>
      <c r="L48" s="133"/>
      <c r="M48" s="134"/>
      <c r="N48" s="134"/>
      <c r="O48" s="134"/>
      <c r="P48" s="135"/>
    </row>
    <row r="49" spans="1:18" ht="34.9" customHeight="1" x14ac:dyDescent="0.25">
      <c r="A49" s="386"/>
      <c r="B49" s="419"/>
      <c r="C49" s="423" t="s">
        <v>107</v>
      </c>
      <c r="D49" s="395"/>
      <c r="E49" s="87" t="s">
        <v>108</v>
      </c>
      <c r="F49" s="20">
        <v>95618.57</v>
      </c>
      <c r="G49" s="2">
        <v>2200387</v>
      </c>
      <c r="H49" s="2"/>
      <c r="I49" s="6">
        <v>26951.58</v>
      </c>
      <c r="J49" s="2"/>
      <c r="K49" s="133">
        <v>32341.9</v>
      </c>
      <c r="L49" s="133"/>
      <c r="M49" s="134">
        <v>32341.9</v>
      </c>
      <c r="N49" s="134"/>
      <c r="O49" s="134">
        <v>32341.9</v>
      </c>
      <c r="P49" s="136">
        <f>F49-O49</f>
        <v>63276.670000000006</v>
      </c>
    </row>
    <row r="50" spans="1:18" ht="34.9" customHeight="1" x14ac:dyDescent="0.25">
      <c r="A50" s="386"/>
      <c r="B50" s="419"/>
      <c r="C50" s="405"/>
      <c r="D50" s="395"/>
      <c r="E50" s="87" t="s">
        <v>119</v>
      </c>
      <c r="F50" s="20">
        <v>3181.04</v>
      </c>
      <c r="G50" s="2"/>
      <c r="H50" s="2"/>
      <c r="I50" s="6"/>
      <c r="J50" s="2"/>
      <c r="K50" s="132"/>
      <c r="L50" s="133"/>
      <c r="M50" s="134"/>
      <c r="N50" s="134"/>
      <c r="O50" s="134"/>
      <c r="P50" s="135">
        <v>3181.04</v>
      </c>
    </row>
    <row r="51" spans="1:18" ht="34.9" customHeight="1" x14ac:dyDescent="0.25">
      <c r="A51" s="386"/>
      <c r="B51" s="389"/>
      <c r="C51" s="120"/>
      <c r="D51" s="10"/>
      <c r="E51" s="87"/>
      <c r="F51" s="20"/>
      <c r="G51" s="2"/>
      <c r="H51" s="2"/>
      <c r="I51" s="6"/>
      <c r="J51" s="2"/>
      <c r="K51" s="132"/>
      <c r="L51" s="133"/>
      <c r="M51" s="134"/>
      <c r="N51" s="134"/>
      <c r="O51" s="134"/>
      <c r="P51" s="126"/>
      <c r="Q51" s="69"/>
      <c r="R51" s="24"/>
    </row>
    <row r="52" spans="1:18" ht="34.9" customHeight="1" x14ac:dyDescent="0.25">
      <c r="A52" s="386"/>
      <c r="B52" s="388" t="s">
        <v>184</v>
      </c>
      <c r="C52" s="102" t="s">
        <v>121</v>
      </c>
      <c r="D52" s="10"/>
      <c r="E52" s="87" t="s">
        <v>155</v>
      </c>
      <c r="F52" s="20">
        <v>1891927.42</v>
      </c>
      <c r="G52" s="2"/>
      <c r="H52" s="2"/>
      <c r="I52" s="6"/>
      <c r="J52" s="2"/>
      <c r="K52" s="133"/>
      <c r="L52" s="133"/>
      <c r="M52" s="134"/>
      <c r="N52" s="134"/>
      <c r="O52" s="134"/>
      <c r="P52" s="135"/>
    </row>
    <row r="53" spans="1:18" ht="34.9" customHeight="1" x14ac:dyDescent="0.25">
      <c r="A53" s="386"/>
      <c r="B53" s="419"/>
      <c r="C53" s="102" t="s">
        <v>174</v>
      </c>
      <c r="D53" s="92"/>
      <c r="E53" s="87" t="s">
        <v>154</v>
      </c>
      <c r="F53" s="20">
        <v>581678.46</v>
      </c>
      <c r="G53" s="57"/>
      <c r="H53" s="57"/>
      <c r="I53" s="6"/>
      <c r="J53" s="57"/>
      <c r="K53" s="123"/>
      <c r="L53" s="58"/>
      <c r="M53" s="134"/>
      <c r="N53" s="134"/>
      <c r="O53" s="134"/>
      <c r="P53" s="135"/>
    </row>
    <row r="54" spans="1:18" ht="44.25" customHeight="1" x14ac:dyDescent="0.25">
      <c r="A54" s="386"/>
      <c r="B54" s="419"/>
      <c r="C54" s="404" t="s">
        <v>162</v>
      </c>
      <c r="D54" s="372" t="s">
        <v>169</v>
      </c>
      <c r="E54" s="87" t="s">
        <v>165</v>
      </c>
      <c r="F54" s="20">
        <f>687075*1.2/2</f>
        <v>412245</v>
      </c>
      <c r="G54" s="2"/>
      <c r="H54" s="2"/>
      <c r="I54" s="6"/>
      <c r="J54" s="2"/>
      <c r="K54" s="132"/>
      <c r="L54" s="133"/>
      <c r="M54" s="134"/>
      <c r="N54" s="134"/>
      <c r="O54" s="134"/>
      <c r="P54" s="135"/>
    </row>
    <row r="55" spans="1:18" ht="44.25" customHeight="1" x14ac:dyDescent="0.25">
      <c r="A55" s="386"/>
      <c r="B55" s="419"/>
      <c r="C55" s="422"/>
      <c r="D55" s="421"/>
      <c r="E55" s="118" t="s">
        <v>168</v>
      </c>
      <c r="F55" s="20">
        <f>(64736)/2*1.2</f>
        <v>38841.599999999999</v>
      </c>
      <c r="G55" s="2"/>
      <c r="H55" s="2"/>
      <c r="I55" s="6"/>
      <c r="J55" s="2"/>
      <c r="K55" s="132"/>
      <c r="L55" s="133"/>
      <c r="M55" s="134"/>
      <c r="N55" s="134"/>
      <c r="O55" s="134"/>
      <c r="P55" s="135"/>
    </row>
    <row r="56" spans="1:18" ht="44.25" customHeight="1" x14ac:dyDescent="0.25">
      <c r="A56" s="386"/>
      <c r="B56" s="419"/>
      <c r="C56" s="422"/>
      <c r="D56" s="372" t="s">
        <v>170</v>
      </c>
      <c r="E56" s="87" t="s">
        <v>165</v>
      </c>
      <c r="F56" s="20">
        <f>687075*1.2/2</f>
        <v>412245</v>
      </c>
      <c r="G56" s="2"/>
      <c r="H56" s="2"/>
      <c r="I56" s="6"/>
      <c r="J56" s="2"/>
      <c r="K56" s="132"/>
      <c r="L56" s="133"/>
      <c r="M56" s="134"/>
      <c r="N56" s="134"/>
      <c r="O56" s="134"/>
      <c r="P56" s="135"/>
    </row>
    <row r="57" spans="1:18" ht="43.5" customHeight="1" x14ac:dyDescent="0.25">
      <c r="A57" s="386"/>
      <c r="B57" s="419"/>
      <c r="C57" s="405"/>
      <c r="D57" s="421"/>
      <c r="E57" s="118" t="s">
        <v>168</v>
      </c>
      <c r="F57" s="20">
        <f>(64736)/2*1.2</f>
        <v>38841.599999999999</v>
      </c>
      <c r="G57" s="2"/>
      <c r="H57" s="2"/>
      <c r="I57" s="6"/>
      <c r="J57" s="2"/>
      <c r="K57" s="133"/>
      <c r="L57" s="133"/>
      <c r="M57" s="134"/>
      <c r="N57" s="134"/>
      <c r="O57" s="134"/>
      <c r="P57" s="135"/>
    </row>
    <row r="58" spans="1:18" ht="34.9" customHeight="1" x14ac:dyDescent="0.25">
      <c r="A58" s="386"/>
      <c r="B58" s="419"/>
      <c r="C58" s="404" t="s">
        <v>163</v>
      </c>
      <c r="D58" s="372" t="s">
        <v>172</v>
      </c>
      <c r="E58" s="87" t="s">
        <v>165</v>
      </c>
      <c r="F58" s="20">
        <f>604119*1.2/2</f>
        <v>362471.39999999997</v>
      </c>
      <c r="G58" s="2"/>
      <c r="H58" s="2"/>
      <c r="I58" s="6"/>
      <c r="J58" s="2"/>
      <c r="K58" s="133"/>
      <c r="L58" s="133"/>
      <c r="M58" s="134"/>
      <c r="N58" s="134"/>
      <c r="O58" s="134"/>
      <c r="P58" s="135"/>
    </row>
    <row r="59" spans="1:18" ht="34.9" customHeight="1" x14ac:dyDescent="0.25">
      <c r="A59" s="386"/>
      <c r="B59" s="419"/>
      <c r="C59" s="422"/>
      <c r="D59" s="373"/>
      <c r="E59" s="118" t="s">
        <v>166</v>
      </c>
      <c r="F59" s="20">
        <f>81544/2*1.2</f>
        <v>48926.400000000001</v>
      </c>
      <c r="G59" s="2"/>
      <c r="H59" s="2"/>
      <c r="I59" s="6"/>
      <c r="J59" s="2"/>
      <c r="K59" s="133"/>
      <c r="L59" s="133"/>
      <c r="M59" s="134"/>
      <c r="N59" s="134"/>
      <c r="O59" s="134"/>
      <c r="P59" s="135"/>
    </row>
    <row r="60" spans="1:18" ht="34.9" customHeight="1" x14ac:dyDescent="0.25">
      <c r="A60" s="386"/>
      <c r="B60" s="419"/>
      <c r="C60" s="422"/>
      <c r="D60" s="421"/>
      <c r="E60" s="118" t="s">
        <v>167</v>
      </c>
      <c r="F60" s="20">
        <f>44217*1.2/2</f>
        <v>26530.2</v>
      </c>
      <c r="G60" s="2"/>
      <c r="H60" s="2"/>
      <c r="I60" s="6"/>
      <c r="J60" s="2"/>
      <c r="K60" s="6"/>
      <c r="L60" s="6"/>
      <c r="M60" s="88"/>
      <c r="N60" s="88"/>
      <c r="O60" s="88"/>
      <c r="P60" s="89"/>
    </row>
    <row r="61" spans="1:18" ht="34.9" customHeight="1" x14ac:dyDescent="0.25">
      <c r="A61" s="386"/>
      <c r="B61" s="419"/>
      <c r="C61" s="422"/>
      <c r="D61" s="372" t="s">
        <v>173</v>
      </c>
      <c r="E61" s="87" t="s">
        <v>165</v>
      </c>
      <c r="F61" s="20">
        <f>604119*1.2/2</f>
        <v>362471.39999999997</v>
      </c>
      <c r="G61" s="2"/>
      <c r="H61" s="2"/>
      <c r="I61" s="6"/>
      <c r="J61" s="2"/>
      <c r="K61" s="6"/>
      <c r="L61" s="6"/>
      <c r="M61" s="88"/>
      <c r="N61" s="88"/>
      <c r="O61" s="88"/>
      <c r="P61" s="89"/>
    </row>
    <row r="62" spans="1:18" ht="34.9" customHeight="1" x14ac:dyDescent="0.25">
      <c r="A62" s="386"/>
      <c r="B62" s="419"/>
      <c r="C62" s="422"/>
      <c r="D62" s="373"/>
      <c r="E62" s="118" t="s">
        <v>166</v>
      </c>
      <c r="F62" s="20">
        <f>81544/2*1.2</f>
        <v>48926.400000000001</v>
      </c>
      <c r="G62" s="2"/>
      <c r="H62" s="2"/>
      <c r="I62" s="6"/>
      <c r="J62" s="2"/>
      <c r="K62" s="6"/>
      <c r="L62" s="6"/>
      <c r="M62" s="88"/>
      <c r="N62" s="88"/>
      <c r="O62" s="88"/>
      <c r="P62" s="89"/>
    </row>
    <row r="63" spans="1:18" ht="34.9" customHeight="1" x14ac:dyDescent="0.25">
      <c r="A63" s="386"/>
      <c r="B63" s="389"/>
      <c r="C63" s="420"/>
      <c r="D63" s="421"/>
      <c r="E63" s="118" t="s">
        <v>167</v>
      </c>
      <c r="F63" s="20">
        <f>44217*1.2/2</f>
        <v>26530.2</v>
      </c>
      <c r="G63" s="2"/>
      <c r="H63" s="2"/>
      <c r="I63" s="6"/>
      <c r="J63" s="2"/>
      <c r="K63" s="6"/>
      <c r="L63" s="6"/>
      <c r="M63" s="88"/>
      <c r="N63" s="88"/>
      <c r="O63" s="88"/>
      <c r="P63" s="89"/>
    </row>
    <row r="64" spans="1:18" ht="15" customHeight="1" x14ac:dyDescent="0.25">
      <c r="A64" s="386"/>
      <c r="B64" s="30"/>
      <c r="C64" s="31"/>
      <c r="D64" s="31"/>
      <c r="E64" s="114"/>
      <c r="F64" s="24"/>
      <c r="G64" s="37"/>
      <c r="H64" s="37"/>
      <c r="I64" s="33"/>
      <c r="J64" s="37"/>
      <c r="K64" s="24"/>
      <c r="L64" s="24"/>
      <c r="M64" s="24"/>
      <c r="N64" s="24"/>
      <c r="O64" s="24"/>
      <c r="P64" s="24"/>
    </row>
    <row r="65" spans="1:16" ht="34.9" customHeight="1" x14ac:dyDescent="0.25">
      <c r="A65" s="386"/>
      <c r="B65" s="388" t="s">
        <v>182</v>
      </c>
      <c r="C65" s="13" t="s">
        <v>137</v>
      </c>
      <c r="D65" s="10"/>
      <c r="E65" s="87" t="s">
        <v>138</v>
      </c>
      <c r="F65" s="20">
        <v>144940.04</v>
      </c>
      <c r="G65" s="2"/>
      <c r="H65" s="2"/>
      <c r="I65" s="6"/>
      <c r="J65" s="2"/>
      <c r="K65" s="56"/>
      <c r="L65" s="6"/>
      <c r="M65" s="88"/>
      <c r="N65" s="88"/>
      <c r="O65" s="88"/>
      <c r="P65" s="89"/>
    </row>
    <row r="66" spans="1:16" ht="34.9" customHeight="1" x14ac:dyDescent="0.25">
      <c r="A66" s="386"/>
      <c r="B66" s="419"/>
      <c r="C66" s="13" t="s">
        <v>183</v>
      </c>
      <c r="D66" s="10"/>
      <c r="E66" s="87" t="s">
        <v>146</v>
      </c>
      <c r="F66" s="20">
        <v>110880</v>
      </c>
      <c r="G66" s="2"/>
      <c r="H66" s="2"/>
      <c r="I66" s="6"/>
      <c r="J66" s="2"/>
      <c r="K66" s="7"/>
      <c r="L66" s="7"/>
      <c r="M66" s="88"/>
      <c r="N66" s="88"/>
      <c r="O66" s="88"/>
      <c r="P66" s="89"/>
    </row>
    <row r="67" spans="1:16" ht="34.9" customHeight="1" x14ac:dyDescent="0.25">
      <c r="A67" s="386"/>
      <c r="B67" s="389"/>
      <c r="C67" s="13" t="s">
        <v>179</v>
      </c>
      <c r="D67" s="60"/>
      <c r="E67" s="87" t="s">
        <v>180</v>
      </c>
      <c r="F67" s="20">
        <v>116694.73</v>
      </c>
      <c r="G67" s="52"/>
      <c r="H67" s="52"/>
      <c r="I67" s="6"/>
      <c r="J67" s="52"/>
      <c r="K67" s="7"/>
      <c r="L67" s="55"/>
      <c r="M67" s="88"/>
      <c r="N67" s="88"/>
      <c r="O67" s="88"/>
      <c r="P67" s="89"/>
    </row>
    <row r="68" spans="1:16" ht="15" customHeight="1" x14ac:dyDescent="0.25">
      <c r="A68" s="122"/>
      <c r="B68" s="93"/>
      <c r="C68" s="31"/>
      <c r="D68" s="31"/>
      <c r="E68" s="114"/>
      <c r="F68" s="24"/>
      <c r="G68" s="37"/>
      <c r="H68" s="37"/>
      <c r="I68" s="33"/>
      <c r="J68" s="37"/>
      <c r="K68" s="24"/>
      <c r="L68" s="24"/>
      <c r="M68" s="24"/>
      <c r="N68" s="24"/>
      <c r="O68" s="24"/>
      <c r="P68" s="24"/>
    </row>
    <row r="69" spans="1:16" ht="30" customHeight="1" x14ac:dyDescent="0.25">
      <c r="A69" s="122"/>
      <c r="B69" s="14"/>
      <c r="C69" s="13"/>
      <c r="D69" s="13"/>
      <c r="E69" s="4"/>
      <c r="F69" s="61"/>
      <c r="G69" s="5"/>
      <c r="H69" s="5"/>
      <c r="I69" s="6"/>
      <c r="J69" s="5"/>
      <c r="K69" s="21"/>
      <c r="L69" s="21"/>
      <c r="M69" s="21">
        <f>K69+L69</f>
        <v>0</v>
      </c>
      <c r="N69" s="7">
        <f>J69*1.2</f>
        <v>0</v>
      </c>
      <c r="O69" s="7">
        <f>+M69-N69</f>
        <v>0</v>
      </c>
      <c r="P69" s="19">
        <f>F69-O69</f>
        <v>0</v>
      </c>
    </row>
    <row r="70" spans="1:16" ht="15" customHeight="1" x14ac:dyDescent="0.25">
      <c r="A70" s="122"/>
      <c r="B70" s="93"/>
      <c r="C70" s="31"/>
      <c r="D70" s="31"/>
      <c r="E70" s="114"/>
      <c r="F70" s="24"/>
      <c r="G70" s="37"/>
      <c r="H70" s="37"/>
      <c r="I70" s="33"/>
      <c r="J70" s="37"/>
      <c r="K70" s="24"/>
      <c r="L70" s="24"/>
      <c r="M70" s="24"/>
      <c r="N70" s="24"/>
      <c r="O70" s="24"/>
      <c r="P70" s="24"/>
    </row>
    <row r="71" spans="1:16" ht="42.75" customHeight="1" x14ac:dyDescent="0.25">
      <c r="A71" s="122"/>
      <c r="B71" s="12"/>
      <c r="C71" s="15"/>
      <c r="D71" s="15"/>
      <c r="E71" s="115"/>
      <c r="F71" s="24"/>
      <c r="G71" s="5"/>
      <c r="H71" s="5"/>
      <c r="I71" s="6"/>
      <c r="J71" s="5"/>
      <c r="K71" s="21"/>
      <c r="L71" s="21"/>
      <c r="M71" s="21">
        <f>K71+L71</f>
        <v>0</v>
      </c>
      <c r="N71" s="7">
        <f>J71*1.2</f>
        <v>0</v>
      </c>
      <c r="O71" s="7">
        <f>+M71-N71</f>
        <v>0</v>
      </c>
      <c r="P71" s="19">
        <f>F71-O71</f>
        <v>0</v>
      </c>
    </row>
    <row r="72" spans="1:16" x14ac:dyDescent="0.25">
      <c r="A72" s="64"/>
      <c r="B72" s="12"/>
      <c r="C72" s="15"/>
      <c r="D72" s="15"/>
      <c r="E72" s="1"/>
      <c r="F72" s="94" t="s">
        <v>70</v>
      </c>
      <c r="G72" s="5"/>
      <c r="H72" s="5"/>
      <c r="I72" s="22"/>
      <c r="J72" s="5"/>
      <c r="K72" s="414" t="s">
        <v>71</v>
      </c>
      <c r="L72" s="414"/>
      <c r="M72" s="1"/>
      <c r="N72" s="1"/>
      <c r="O72" s="1"/>
      <c r="P72" s="1"/>
    </row>
    <row r="73" spans="1:16" ht="18.75" x14ac:dyDescent="0.25">
      <c r="A73" s="86"/>
      <c r="B73" s="417" t="s">
        <v>25</v>
      </c>
      <c r="C73" s="417"/>
      <c r="D73" s="417"/>
      <c r="E73" s="417"/>
      <c r="F73" s="95">
        <f>SUM(F24:F72)</f>
        <v>5544100.5700000022</v>
      </c>
      <c r="G73" s="4"/>
      <c r="H73" s="4"/>
      <c r="I73" s="21"/>
      <c r="J73" s="4"/>
      <c r="K73" s="25">
        <f t="shared" ref="K73:P73" si="2">SUM(K6:K71)</f>
        <v>427558.52600000013</v>
      </c>
      <c r="L73" s="25">
        <f t="shared" si="2"/>
        <v>0</v>
      </c>
      <c r="M73" s="95">
        <f t="shared" si="2"/>
        <v>455246.5612</v>
      </c>
      <c r="N73" s="25">
        <f t="shared" si="2"/>
        <v>0</v>
      </c>
      <c r="O73" s="25">
        <f t="shared" si="2"/>
        <v>495425.56344</v>
      </c>
      <c r="P73" s="95">
        <f t="shared" si="2"/>
        <v>5011832.1057600025</v>
      </c>
    </row>
    <row r="74" spans="1:16" ht="15.75" x14ac:dyDescent="0.25">
      <c r="B74" s="1"/>
      <c r="C74" s="1"/>
      <c r="D74" s="1"/>
      <c r="E74" s="1"/>
      <c r="F74" s="1"/>
      <c r="G74" s="1"/>
      <c r="H74" s="1"/>
      <c r="I74" s="63"/>
      <c r="J74" s="1"/>
      <c r="K74" s="415">
        <f>K73+L73</f>
        <v>427558.52600000013</v>
      </c>
      <c r="L74" s="416"/>
      <c r="M74" s="1"/>
      <c r="N74" s="62" t="s">
        <v>80</v>
      </c>
      <c r="O74" s="96">
        <f>+M73-N73</f>
        <v>455246.5612</v>
      </c>
      <c r="P74" s="96"/>
    </row>
    <row r="75" spans="1:16" ht="17.25" customHeight="1" x14ac:dyDescent="0.25">
      <c r="B75" s="62" t="s">
        <v>72</v>
      </c>
      <c r="C75" s="62"/>
      <c r="D75" s="402" t="s">
        <v>69</v>
      </c>
      <c r="E75" s="402"/>
      <c r="F75" s="63">
        <f>F24+F31</f>
        <v>429956.21000000008</v>
      </c>
      <c r="G75" s="1"/>
      <c r="H75" s="1"/>
      <c r="I75" s="63"/>
      <c r="J75" s="1"/>
      <c r="K75" s="97" t="s">
        <v>53</v>
      </c>
      <c r="L75" s="98" t="s">
        <v>54</v>
      </c>
      <c r="M75" s="99"/>
      <c r="N75" s="99"/>
      <c r="O75" s="99"/>
      <c r="P75" s="99"/>
    </row>
    <row r="76" spans="1:16" x14ac:dyDescent="0.25">
      <c r="B76" s="1"/>
      <c r="C76" s="62"/>
      <c r="D76" s="402" t="s">
        <v>28</v>
      </c>
      <c r="E76" s="402"/>
      <c r="F76" s="63">
        <f>F73-F75</f>
        <v>5114144.3600000022</v>
      </c>
      <c r="G76" s="1"/>
      <c r="H76" s="1"/>
      <c r="I76" s="63"/>
      <c r="J76" s="1"/>
      <c r="K76" s="1"/>
      <c r="L76" s="1"/>
      <c r="M76" s="1"/>
      <c r="N76" s="1"/>
      <c r="O76" s="1"/>
      <c r="P76" s="1"/>
    </row>
    <row r="77" spans="1:16" x14ac:dyDescent="0.25">
      <c r="B77" s="1"/>
      <c r="C77" s="1"/>
      <c r="D77" s="99" t="s">
        <v>41</v>
      </c>
      <c r="E77" s="105"/>
      <c r="F77" s="100"/>
      <c r="G77" s="1"/>
      <c r="H77" s="1"/>
      <c r="I77" s="63"/>
      <c r="J77" s="1"/>
      <c r="K77" s="50" t="s">
        <v>73</v>
      </c>
      <c r="L77" s="101">
        <f>K74/F73</f>
        <v>7.7119547274013461E-2</v>
      </c>
      <c r="M77" s="50"/>
      <c r="N77" s="50"/>
      <c r="O77" s="50"/>
      <c r="P77" s="50"/>
    </row>
    <row r="80" spans="1:16" x14ac:dyDescent="0.25">
      <c r="B80" s="393" t="s">
        <v>139</v>
      </c>
      <c r="C80" s="393"/>
      <c r="D80" s="393"/>
    </row>
    <row r="81" spans="2:4" x14ac:dyDescent="0.25">
      <c r="B81" s="105" t="s">
        <v>31</v>
      </c>
      <c r="C81" s="103" t="s">
        <v>143</v>
      </c>
      <c r="D81" s="103" t="s">
        <v>142</v>
      </c>
    </row>
    <row r="82" spans="2:4" x14ac:dyDescent="0.25">
      <c r="B82" s="1" t="s">
        <v>140</v>
      </c>
      <c r="C82" s="1">
        <v>424621.31</v>
      </c>
      <c r="D82" s="1">
        <v>91543.89</v>
      </c>
    </row>
    <row r="83" spans="2:4" x14ac:dyDescent="0.25">
      <c r="B83" s="1" t="s">
        <v>94</v>
      </c>
      <c r="C83" s="1">
        <v>5324.4</v>
      </c>
      <c r="D83" s="1">
        <v>5324.4</v>
      </c>
    </row>
    <row r="84" spans="2:4" x14ac:dyDescent="0.25">
      <c r="B84" s="1" t="s">
        <v>149</v>
      </c>
      <c r="C84" s="1">
        <f>SUM(C82:C83)</f>
        <v>429945.71</v>
      </c>
      <c r="D84" s="1">
        <f>SUM(D82:D83)</f>
        <v>96868.29</v>
      </c>
    </row>
    <row r="85" spans="2:4" x14ac:dyDescent="0.25">
      <c r="B85" s="105" t="s">
        <v>120</v>
      </c>
      <c r="C85" s="1" t="s">
        <v>144</v>
      </c>
      <c r="D85" s="1"/>
    </row>
    <row r="86" spans="2:4" x14ac:dyDescent="0.25">
      <c r="B86" s="1" t="s">
        <v>141</v>
      </c>
      <c r="C86" s="1">
        <v>474850.51</v>
      </c>
      <c r="D86" s="1">
        <v>192012.26</v>
      </c>
    </row>
    <row r="87" spans="2:4" x14ac:dyDescent="0.25">
      <c r="B87" s="1" t="s">
        <v>6</v>
      </c>
      <c r="C87" s="20">
        <v>4278858.72</v>
      </c>
      <c r="D87" s="1">
        <v>4278858.72</v>
      </c>
    </row>
    <row r="88" spans="2:4" x14ac:dyDescent="0.25">
      <c r="B88" s="1" t="s">
        <v>147</v>
      </c>
      <c r="C88" s="1">
        <f>SUM(C86:C87)</f>
        <v>4753709.2299999995</v>
      </c>
      <c r="D88" s="1">
        <f>SUM(D86:D87)</f>
        <v>4470870.9799999995</v>
      </c>
    </row>
    <row r="89" spans="2:4" x14ac:dyDescent="0.25">
      <c r="B89" s="1" t="s">
        <v>148</v>
      </c>
      <c r="C89" s="1">
        <f>C84+C88</f>
        <v>5183654.9399999995</v>
      </c>
      <c r="D89" s="1">
        <f>D84+D88</f>
        <v>4567739.2699999996</v>
      </c>
    </row>
  </sheetData>
  <mergeCells count="38">
    <mergeCell ref="B25:B30"/>
    <mergeCell ref="C25:C30"/>
    <mergeCell ref="A2:P2"/>
    <mergeCell ref="A3:P3"/>
    <mergeCell ref="A6:A32"/>
    <mergeCell ref="B6:B23"/>
    <mergeCell ref="C6:C23"/>
    <mergeCell ref="E6:E15"/>
    <mergeCell ref="F6:F13"/>
    <mergeCell ref="N6:N23"/>
    <mergeCell ref="F14:F15"/>
    <mergeCell ref="E16:E19"/>
    <mergeCell ref="F16:F19"/>
    <mergeCell ref="E20:E22"/>
    <mergeCell ref="B24:E24"/>
    <mergeCell ref="D6:D23"/>
    <mergeCell ref="A33:A67"/>
    <mergeCell ref="K72:L72"/>
    <mergeCell ref="B73:E73"/>
    <mergeCell ref="K74:L74"/>
    <mergeCell ref="D75:E75"/>
    <mergeCell ref="B33:B51"/>
    <mergeCell ref="C33:C42"/>
    <mergeCell ref="E41:E42"/>
    <mergeCell ref="F41:F42"/>
    <mergeCell ref="C43:C48"/>
    <mergeCell ref="C49:C50"/>
    <mergeCell ref="D49:D50"/>
    <mergeCell ref="D76:E76"/>
    <mergeCell ref="B80:D80"/>
    <mergeCell ref="D54:D55"/>
    <mergeCell ref="D56:D57"/>
    <mergeCell ref="D58:D60"/>
    <mergeCell ref="D61:D63"/>
    <mergeCell ref="C58:C63"/>
    <mergeCell ref="B65:B67"/>
    <mergeCell ref="B52:B63"/>
    <mergeCell ref="C54:C57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31805-FFFB-44FA-89E2-BCF70AC23390}">
  <dimension ref="A1:K19"/>
  <sheetViews>
    <sheetView zoomScaleNormal="100" workbookViewId="0">
      <selection activeCell="K13" sqref="K13"/>
    </sheetView>
  </sheetViews>
  <sheetFormatPr baseColWidth="10" defaultRowHeight="15" x14ac:dyDescent="0.25"/>
  <cols>
    <col min="1" max="1" width="10.7109375" style="158" customWidth="1"/>
    <col min="2" max="2" width="64.140625" style="159" bestFit="1" customWidth="1"/>
    <col min="3" max="3" width="30" bestFit="1" customWidth="1"/>
    <col min="4" max="4" width="26.5703125" customWidth="1"/>
    <col min="5" max="5" width="12.85546875" bestFit="1" customWidth="1"/>
    <col min="6" max="6" width="14.7109375" customWidth="1"/>
    <col min="7" max="7" width="15.140625" customWidth="1"/>
    <col min="8" max="8" width="13" customWidth="1"/>
    <col min="9" max="9" width="13.140625" customWidth="1"/>
    <col min="10" max="10" width="13.5703125" customWidth="1"/>
    <col min="11" max="11" width="15.5703125" bestFit="1" customWidth="1"/>
  </cols>
  <sheetData>
    <row r="1" spans="1:10" s="185" customFormat="1" ht="54.75" customHeight="1" x14ac:dyDescent="0.25">
      <c r="A1" s="427" t="s">
        <v>243</v>
      </c>
      <c r="B1" s="427"/>
      <c r="C1" s="426" t="s">
        <v>242</v>
      </c>
      <c r="D1" s="426"/>
      <c r="E1" s="426"/>
      <c r="F1" s="426"/>
      <c r="G1" s="426"/>
      <c r="H1" s="426"/>
    </row>
    <row r="2" spans="1:10" s="147" customFormat="1" ht="30" x14ac:dyDescent="0.25">
      <c r="A2" s="184" t="s">
        <v>241</v>
      </c>
      <c r="B2" s="180"/>
      <c r="D2" s="183" t="s">
        <v>240</v>
      </c>
      <c r="E2" s="183" t="s">
        <v>6</v>
      </c>
      <c r="F2" s="183" t="s">
        <v>239</v>
      </c>
      <c r="G2" s="183" t="s">
        <v>238</v>
      </c>
      <c r="H2" s="182" t="s">
        <v>237</v>
      </c>
      <c r="I2" s="182" t="s">
        <v>236</v>
      </c>
      <c r="J2" s="182" t="s">
        <v>235</v>
      </c>
    </row>
    <row r="3" spans="1:10" x14ac:dyDescent="0.25">
      <c r="B3" s="180" t="s">
        <v>165</v>
      </c>
      <c r="C3" t="s">
        <v>234</v>
      </c>
      <c r="D3" t="s">
        <v>233</v>
      </c>
      <c r="E3" t="s">
        <v>232</v>
      </c>
      <c r="F3" s="179">
        <v>45309</v>
      </c>
      <c r="G3" s="179">
        <v>45341</v>
      </c>
      <c r="H3" s="179">
        <v>45458</v>
      </c>
      <c r="I3" s="178"/>
      <c r="J3" s="178"/>
    </row>
    <row r="4" spans="1:10" x14ac:dyDescent="0.25">
      <c r="A4" s="181"/>
      <c r="B4" s="180" t="s">
        <v>166</v>
      </c>
      <c r="C4" t="s">
        <v>231</v>
      </c>
      <c r="D4" t="s">
        <v>230</v>
      </c>
      <c r="E4" t="s">
        <v>229</v>
      </c>
      <c r="G4" s="179">
        <v>45341</v>
      </c>
      <c r="H4" s="178"/>
      <c r="J4" s="178"/>
    </row>
    <row r="5" spans="1:10" x14ac:dyDescent="0.25">
      <c r="A5" s="181"/>
      <c r="B5" s="180" t="s">
        <v>167</v>
      </c>
      <c r="C5" t="s">
        <v>231</v>
      </c>
      <c r="D5" t="s">
        <v>230</v>
      </c>
      <c r="E5" t="s">
        <v>229</v>
      </c>
      <c r="G5" s="179">
        <v>45341</v>
      </c>
      <c r="H5" s="178"/>
      <c r="I5" s="178"/>
    </row>
    <row r="6" spans="1:10" ht="15.75" thickBot="1" x14ac:dyDescent="0.3"/>
    <row r="7" spans="1:10" s="147" customFormat="1" ht="45.75" thickBot="1" x14ac:dyDescent="0.3">
      <c r="A7" s="177" t="s">
        <v>228</v>
      </c>
      <c r="B7" s="176" t="s">
        <v>227</v>
      </c>
      <c r="C7" s="175" t="s">
        <v>226</v>
      </c>
      <c r="D7" s="175" t="s">
        <v>225</v>
      </c>
      <c r="E7" s="174" t="s">
        <v>224</v>
      </c>
      <c r="F7" s="173" t="s">
        <v>223</v>
      </c>
      <c r="G7" s="172" t="s">
        <v>222</v>
      </c>
      <c r="H7" s="171" t="s">
        <v>221</v>
      </c>
      <c r="I7" s="170" t="s">
        <v>222</v>
      </c>
      <c r="J7" s="169" t="s">
        <v>221</v>
      </c>
    </row>
    <row r="8" spans="1:10" ht="30" x14ac:dyDescent="0.25">
      <c r="A8" s="51">
        <v>1</v>
      </c>
      <c r="B8" s="159" t="s">
        <v>220</v>
      </c>
      <c r="C8" s="159" t="s">
        <v>219</v>
      </c>
      <c r="E8" s="168">
        <v>35545.29</v>
      </c>
      <c r="F8" s="167">
        <f t="shared" ref="F8:F16" si="0">1.2*E8</f>
        <v>42654.347999999998</v>
      </c>
      <c r="G8" s="166">
        <v>32975.42</v>
      </c>
      <c r="H8" s="165">
        <f t="shared" ref="H8:H16" si="1">1.2*G8</f>
        <v>39570.503999999994</v>
      </c>
      <c r="I8" s="164">
        <v>26432.73</v>
      </c>
      <c r="J8" s="163">
        <f t="shared" ref="J8:J16" si="2">1.2*I8</f>
        <v>31719.275999999998</v>
      </c>
    </row>
    <row r="9" spans="1:10" ht="30" x14ac:dyDescent="0.25">
      <c r="A9" s="51">
        <v>2</v>
      </c>
      <c r="B9" s="159" t="s">
        <v>218</v>
      </c>
      <c r="C9" s="159" t="s">
        <v>217</v>
      </c>
      <c r="E9" s="168">
        <v>13189.35</v>
      </c>
      <c r="F9" s="167">
        <f t="shared" si="0"/>
        <v>15827.22</v>
      </c>
      <c r="G9" s="166">
        <v>13189.35</v>
      </c>
      <c r="H9" s="165">
        <f t="shared" si="1"/>
        <v>15827.22</v>
      </c>
      <c r="I9" s="164">
        <v>0</v>
      </c>
      <c r="J9" s="163">
        <f t="shared" si="2"/>
        <v>0</v>
      </c>
    </row>
    <row r="10" spans="1:10" ht="30" x14ac:dyDescent="0.25">
      <c r="A10" s="51">
        <v>3</v>
      </c>
      <c r="B10" s="159" t="s">
        <v>216</v>
      </c>
      <c r="C10" s="159" t="s">
        <v>215</v>
      </c>
      <c r="E10" s="168">
        <v>21726</v>
      </c>
      <c r="F10" s="167">
        <f t="shared" si="0"/>
        <v>26071.200000000001</v>
      </c>
      <c r="G10" s="166">
        <v>21621</v>
      </c>
      <c r="H10" s="165">
        <f t="shared" si="1"/>
        <v>25945.200000000001</v>
      </c>
      <c r="I10" s="164">
        <v>19053</v>
      </c>
      <c r="J10" s="163">
        <f t="shared" si="2"/>
        <v>22863.599999999999</v>
      </c>
    </row>
    <row r="11" spans="1:10" ht="30" x14ac:dyDescent="0.25">
      <c r="A11" s="51">
        <v>4</v>
      </c>
      <c r="B11" s="159" t="s">
        <v>214</v>
      </c>
      <c r="C11" s="159" t="s">
        <v>213</v>
      </c>
      <c r="E11" s="168">
        <v>9631.44</v>
      </c>
      <c r="F11" s="167">
        <f t="shared" si="0"/>
        <v>11557.728000000001</v>
      </c>
      <c r="G11" s="166">
        <v>10375.719999999999</v>
      </c>
      <c r="H11" s="165">
        <f t="shared" si="1"/>
        <v>12450.864</v>
      </c>
      <c r="I11" s="164">
        <v>9580.83</v>
      </c>
      <c r="J11" s="163">
        <f t="shared" si="2"/>
        <v>11496.995999999999</v>
      </c>
    </row>
    <row r="12" spans="1:10" ht="30" x14ac:dyDescent="0.25">
      <c r="A12" s="51">
        <v>5</v>
      </c>
      <c r="B12" s="159" t="s">
        <v>212</v>
      </c>
      <c r="C12" s="159" t="s">
        <v>211</v>
      </c>
      <c r="E12" s="168">
        <v>3807.5</v>
      </c>
      <c r="F12" s="167">
        <f t="shared" si="0"/>
        <v>4569</v>
      </c>
      <c r="G12" s="166">
        <v>3807.5</v>
      </c>
      <c r="H12" s="165">
        <f t="shared" si="1"/>
        <v>4569</v>
      </c>
      <c r="I12" s="164">
        <v>3189.6</v>
      </c>
      <c r="J12" s="163">
        <f t="shared" si="2"/>
        <v>3827.5199999999995</v>
      </c>
    </row>
    <row r="13" spans="1:10" ht="30" x14ac:dyDescent="0.25">
      <c r="A13" s="51">
        <v>6</v>
      </c>
      <c r="B13" s="159" t="s">
        <v>210</v>
      </c>
      <c r="C13" s="159" t="s">
        <v>209</v>
      </c>
      <c r="E13" s="168">
        <v>5956.79</v>
      </c>
      <c r="F13" s="167">
        <f t="shared" si="0"/>
        <v>7148.1480000000001</v>
      </c>
      <c r="G13" s="166">
        <v>6253.13</v>
      </c>
      <c r="H13" s="165">
        <f t="shared" si="1"/>
        <v>7503.7559999999994</v>
      </c>
      <c r="I13" s="164">
        <v>5375.57</v>
      </c>
      <c r="J13" s="163">
        <f t="shared" si="2"/>
        <v>6450.6839999999993</v>
      </c>
    </row>
    <row r="14" spans="1:10" ht="30" x14ac:dyDescent="0.25">
      <c r="A14" s="51">
        <v>7</v>
      </c>
      <c r="B14" s="159" t="s">
        <v>208</v>
      </c>
      <c r="C14" s="159" t="s">
        <v>207</v>
      </c>
      <c r="E14" s="168">
        <v>7220</v>
      </c>
      <c r="F14" s="167">
        <f t="shared" si="0"/>
        <v>8664</v>
      </c>
      <c r="G14" s="166">
        <v>7785</v>
      </c>
      <c r="H14" s="165">
        <f t="shared" si="1"/>
        <v>9342</v>
      </c>
      <c r="I14" s="164">
        <v>7415</v>
      </c>
      <c r="J14" s="163">
        <f t="shared" si="2"/>
        <v>8898</v>
      </c>
    </row>
    <row r="15" spans="1:10" ht="30" x14ac:dyDescent="0.25">
      <c r="A15" s="51">
        <v>8</v>
      </c>
      <c r="B15" s="159" t="s">
        <v>206</v>
      </c>
      <c r="C15" s="159" t="s">
        <v>205</v>
      </c>
      <c r="E15" s="168">
        <v>10178.5</v>
      </c>
      <c r="F15" s="167">
        <f t="shared" si="0"/>
        <v>12214.199999999999</v>
      </c>
      <c r="G15" s="166">
        <v>10710.39</v>
      </c>
      <c r="H15" s="165">
        <f t="shared" si="1"/>
        <v>12852.467999999999</v>
      </c>
      <c r="I15" s="164">
        <v>0</v>
      </c>
      <c r="J15" s="163">
        <f t="shared" si="2"/>
        <v>0</v>
      </c>
    </row>
    <row r="16" spans="1:10" ht="30" x14ac:dyDescent="0.25">
      <c r="A16" s="51">
        <v>9</v>
      </c>
      <c r="B16" s="159" t="s">
        <v>204</v>
      </c>
      <c r="C16" s="159" t="s">
        <v>203</v>
      </c>
      <c r="E16" s="168">
        <v>15957</v>
      </c>
      <c r="F16" s="167">
        <f t="shared" si="0"/>
        <v>19148.399999999998</v>
      </c>
      <c r="G16" s="166">
        <v>16885</v>
      </c>
      <c r="H16" s="165">
        <f t="shared" si="1"/>
        <v>20262</v>
      </c>
      <c r="I16" s="164">
        <v>6727</v>
      </c>
      <c r="J16" s="163">
        <f t="shared" si="2"/>
        <v>8072.4</v>
      </c>
    </row>
    <row r="17" spans="4:11" x14ac:dyDescent="0.25">
      <c r="D17" s="162" t="s">
        <v>202</v>
      </c>
      <c r="E17" s="161">
        <f t="shared" ref="E17:J17" si="3">SUM(E8:E16)</f>
        <v>123211.87</v>
      </c>
      <c r="F17" s="161">
        <f t="shared" si="3"/>
        <v>147854.24400000001</v>
      </c>
      <c r="G17" s="161">
        <f t="shared" si="3"/>
        <v>123602.51</v>
      </c>
      <c r="H17" s="161">
        <f t="shared" si="3"/>
        <v>148323.01199999999</v>
      </c>
      <c r="I17" s="161">
        <f t="shared" si="3"/>
        <v>77773.73</v>
      </c>
      <c r="J17" s="161">
        <f t="shared" si="3"/>
        <v>93328.475999999995</v>
      </c>
    </row>
    <row r="18" spans="4:11" x14ac:dyDescent="0.25">
      <c r="J18" t="s">
        <v>201</v>
      </c>
      <c r="K18" s="160">
        <f>+E17+G17+I17</f>
        <v>324588.11</v>
      </c>
    </row>
    <row r="19" spans="4:11" x14ac:dyDescent="0.25">
      <c r="J19" t="s">
        <v>200</v>
      </c>
      <c r="K19" s="160">
        <f>+F17+H17+J17</f>
        <v>389505.73199999996</v>
      </c>
    </row>
  </sheetData>
  <mergeCells count="2">
    <mergeCell ref="C1:H1"/>
    <mergeCell ref="A1:B1"/>
  </mergeCells>
  <pageMargins left="0.7" right="0.7" top="0.75" bottom="0.75" header="0.3" footer="0.3"/>
  <pageSetup paperSize="9" scale="6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787D3-DDDF-49AE-901B-62097FFD0FF8}">
  <dimension ref="A1:T146"/>
  <sheetViews>
    <sheetView tabSelected="1" zoomScale="85" zoomScaleNormal="85" workbookViewId="0">
      <pane xSplit="5" ySplit="1" topLeftCell="N108" activePane="bottomRight" state="frozen"/>
      <selection pane="topRight" activeCell="F1" sqref="F1"/>
      <selection pane="bottomLeft" activeCell="A2" sqref="A2"/>
      <selection pane="bottomRight" activeCell="F70" sqref="F70:F129"/>
    </sheetView>
  </sheetViews>
  <sheetFormatPr baseColWidth="10" defaultRowHeight="15" x14ac:dyDescent="0.25"/>
  <cols>
    <col min="1" max="1" width="15.7109375" customWidth="1"/>
    <col min="2" max="2" width="26.5703125" customWidth="1"/>
    <col min="3" max="3" width="29.140625" customWidth="1"/>
    <col min="4" max="4" width="22.5703125" customWidth="1"/>
    <col min="5" max="5" width="47.7109375" style="287" customWidth="1"/>
    <col min="6" max="6" width="24.85546875" style="197" customWidth="1"/>
    <col min="7" max="7" width="20.28515625" customWidth="1"/>
    <col min="8" max="8" width="15.5703125" style="261" customWidth="1"/>
    <col min="9" max="10" width="13.140625" customWidth="1"/>
    <col min="11" max="13" width="13.140625" hidden="1" customWidth="1"/>
    <col min="14" max="14" width="22.5703125" customWidth="1"/>
    <col min="15" max="15" width="21.28515625" customWidth="1"/>
    <col min="16" max="18" width="22.5703125" customWidth="1"/>
    <col min="19" max="19" width="24.140625" style="197" customWidth="1"/>
    <col min="20" max="20" width="16.5703125" customWidth="1"/>
  </cols>
  <sheetData>
    <row r="1" spans="1:19" ht="87" customHeight="1" thickBot="1" x14ac:dyDescent="0.3">
      <c r="A1" s="85" t="s">
        <v>0</v>
      </c>
      <c r="B1" s="3" t="s">
        <v>3</v>
      </c>
      <c r="C1" s="323" t="s">
        <v>161</v>
      </c>
      <c r="D1" s="323" t="s">
        <v>192</v>
      </c>
      <c r="E1" s="324" t="s">
        <v>164</v>
      </c>
      <c r="F1" s="274" t="s">
        <v>171</v>
      </c>
      <c r="G1" s="325" t="s">
        <v>68</v>
      </c>
      <c r="H1" s="326" t="s">
        <v>67</v>
      </c>
      <c r="I1" s="327" t="s">
        <v>190</v>
      </c>
      <c r="J1" s="328" t="s">
        <v>191</v>
      </c>
      <c r="K1" s="327" t="s">
        <v>75</v>
      </c>
      <c r="L1" s="327" t="s">
        <v>197</v>
      </c>
      <c r="M1" s="327" t="s">
        <v>198</v>
      </c>
      <c r="N1" s="329" t="s">
        <v>244</v>
      </c>
      <c r="O1" s="329" t="s">
        <v>52</v>
      </c>
      <c r="P1" s="330" t="s">
        <v>199</v>
      </c>
      <c r="Q1" s="329" t="s">
        <v>76</v>
      </c>
      <c r="R1" s="329" t="s">
        <v>79</v>
      </c>
      <c r="S1" s="236" t="s">
        <v>195</v>
      </c>
    </row>
    <row r="2" spans="1:19" ht="15" customHeight="1" x14ac:dyDescent="0.25">
      <c r="A2" s="503" t="s">
        <v>31</v>
      </c>
      <c r="B2" s="524" t="s">
        <v>82</v>
      </c>
      <c r="C2" s="528" t="s">
        <v>277</v>
      </c>
      <c r="D2" s="494" t="s">
        <v>271</v>
      </c>
      <c r="E2" s="462" t="s">
        <v>321</v>
      </c>
      <c r="F2" s="464">
        <f>11565.6+473.96</f>
        <v>12039.56</v>
      </c>
      <c r="G2" s="331" t="s">
        <v>272</v>
      </c>
      <c r="H2" s="257"/>
      <c r="I2" s="332">
        <v>420.75</v>
      </c>
      <c r="J2" s="219"/>
      <c r="K2" s="218"/>
      <c r="L2" s="218"/>
      <c r="M2" s="218"/>
      <c r="N2" s="220">
        <f>(I2+K2)*1.2</f>
        <v>504.9</v>
      </c>
      <c r="O2" s="220">
        <f t="shared" ref="O2:O22" si="0">(J2+K2)*1.2</f>
        <v>0</v>
      </c>
      <c r="P2" s="221">
        <f>O2+N2-L2-M2</f>
        <v>504.9</v>
      </c>
      <c r="Q2" s="220">
        <f t="shared" ref="Q2:Q130" si="1">K2*1.2</f>
        <v>0</v>
      </c>
      <c r="R2" s="234">
        <f>P2-ABS(Q2)</f>
        <v>504.9</v>
      </c>
      <c r="S2" s="460">
        <f>F2-SUM(R2:R14)</f>
        <v>3676.5800000000017</v>
      </c>
    </row>
    <row r="3" spans="1:19" x14ac:dyDescent="0.25">
      <c r="A3" s="504"/>
      <c r="B3" s="525"/>
      <c r="C3" s="529"/>
      <c r="D3" s="493"/>
      <c r="E3" s="463"/>
      <c r="F3" s="465"/>
      <c r="G3" s="193" t="s">
        <v>273</v>
      </c>
      <c r="H3" s="255"/>
      <c r="I3" s="127">
        <v>841.5</v>
      </c>
      <c r="J3" s="133"/>
      <c r="K3" s="186"/>
      <c r="L3" s="186"/>
      <c r="M3" s="186"/>
      <c r="N3" s="142">
        <f t="shared" ref="N3:N35" si="2">(I3+K3)*1.2</f>
        <v>1009.8</v>
      </c>
      <c r="O3" s="142">
        <f t="shared" si="0"/>
        <v>0</v>
      </c>
      <c r="P3" s="151">
        <f t="shared" ref="P3:P22" si="3">O3+N3-L3-M3</f>
        <v>1009.8</v>
      </c>
      <c r="Q3" s="142">
        <f t="shared" si="1"/>
        <v>0</v>
      </c>
      <c r="R3" s="235">
        <f t="shared" ref="R3:R22" si="4">P3-ABS(Q3)</f>
        <v>1009.8</v>
      </c>
      <c r="S3" s="461"/>
    </row>
    <row r="4" spans="1:19" x14ac:dyDescent="0.25">
      <c r="A4" s="504"/>
      <c r="B4" s="525"/>
      <c r="C4" s="529"/>
      <c r="D4" s="493"/>
      <c r="E4" s="463"/>
      <c r="F4" s="465"/>
      <c r="G4" s="193" t="s">
        <v>274</v>
      </c>
      <c r="H4" s="255"/>
      <c r="I4" s="127">
        <v>420.75</v>
      </c>
      <c r="J4" s="133"/>
      <c r="K4" s="186"/>
      <c r="L4" s="186"/>
      <c r="M4" s="186"/>
      <c r="N4" s="142">
        <f t="shared" ref="N4:N5" si="5">(I4+K4)*1.2</f>
        <v>504.9</v>
      </c>
      <c r="O4" s="142">
        <f t="shared" ref="O4:O5" si="6">(J4+K4)*1.2</f>
        <v>0</v>
      </c>
      <c r="P4" s="151">
        <f t="shared" ref="P4:P5" si="7">O4+N4-L4-M4</f>
        <v>504.9</v>
      </c>
      <c r="Q4" s="142">
        <f t="shared" ref="Q4:Q5" si="8">K4*1.2</f>
        <v>0</v>
      </c>
      <c r="R4" s="235">
        <f t="shared" ref="R4:R5" si="9">P4-ABS(Q4)</f>
        <v>504.9</v>
      </c>
      <c r="S4" s="461"/>
    </row>
    <row r="5" spans="1:19" x14ac:dyDescent="0.25">
      <c r="A5" s="504"/>
      <c r="B5" s="525"/>
      <c r="C5" s="529"/>
      <c r="D5" s="493"/>
      <c r="E5" s="463"/>
      <c r="F5" s="465"/>
      <c r="G5" s="193" t="s">
        <v>275</v>
      </c>
      <c r="H5" s="255"/>
      <c r="I5" s="127">
        <v>1683</v>
      </c>
      <c r="J5" s="133"/>
      <c r="K5" s="186"/>
      <c r="L5" s="186"/>
      <c r="M5" s="186"/>
      <c r="N5" s="142">
        <f t="shared" si="5"/>
        <v>2019.6</v>
      </c>
      <c r="O5" s="142">
        <f t="shared" si="6"/>
        <v>0</v>
      </c>
      <c r="P5" s="151">
        <f t="shared" si="7"/>
        <v>2019.6</v>
      </c>
      <c r="Q5" s="142">
        <f t="shared" si="8"/>
        <v>0</v>
      </c>
      <c r="R5" s="235">
        <f t="shared" si="9"/>
        <v>2019.6</v>
      </c>
      <c r="S5" s="461"/>
    </row>
    <row r="6" spans="1:19" x14ac:dyDescent="0.25">
      <c r="A6" s="504"/>
      <c r="B6" s="525"/>
      <c r="C6" s="529"/>
      <c r="D6" s="493"/>
      <c r="E6" s="463"/>
      <c r="F6" s="465"/>
      <c r="G6" s="193" t="s">
        <v>276</v>
      </c>
      <c r="H6" s="255"/>
      <c r="I6" s="127">
        <v>688.5</v>
      </c>
      <c r="J6" s="133"/>
      <c r="K6" s="186"/>
      <c r="L6" s="186"/>
      <c r="M6" s="186"/>
      <c r="N6" s="142">
        <f t="shared" si="2"/>
        <v>826.19999999999993</v>
      </c>
      <c r="O6" s="142">
        <f t="shared" si="0"/>
        <v>0</v>
      </c>
      <c r="P6" s="151">
        <f t="shared" si="3"/>
        <v>826.19999999999993</v>
      </c>
      <c r="Q6" s="142">
        <f t="shared" si="1"/>
        <v>0</v>
      </c>
      <c r="R6" s="235">
        <f t="shared" si="4"/>
        <v>826.19999999999993</v>
      </c>
      <c r="S6" s="461"/>
    </row>
    <row r="7" spans="1:19" x14ac:dyDescent="0.25">
      <c r="A7" s="504"/>
      <c r="B7" s="525"/>
      <c r="C7" s="529"/>
      <c r="D7" s="493"/>
      <c r="E7" s="463"/>
      <c r="F7" s="465"/>
      <c r="G7" s="316" t="s">
        <v>302</v>
      </c>
      <c r="H7" s="256"/>
      <c r="I7" s="232">
        <v>229.5</v>
      </c>
      <c r="J7" s="191"/>
      <c r="K7" s="192"/>
      <c r="L7" s="192"/>
      <c r="M7" s="192"/>
      <c r="N7" s="143">
        <f t="shared" si="2"/>
        <v>275.39999999999998</v>
      </c>
      <c r="O7" s="143">
        <f t="shared" si="0"/>
        <v>0</v>
      </c>
      <c r="P7" s="217">
        <f t="shared" si="3"/>
        <v>275.39999999999998</v>
      </c>
      <c r="Q7" s="143">
        <f t="shared" si="1"/>
        <v>0</v>
      </c>
      <c r="R7" s="233">
        <f t="shared" si="4"/>
        <v>275.39999999999998</v>
      </c>
      <c r="S7" s="461"/>
    </row>
    <row r="8" spans="1:19" ht="15" customHeight="1" x14ac:dyDescent="0.25">
      <c r="A8" s="504"/>
      <c r="B8" s="525"/>
      <c r="C8" s="529"/>
      <c r="D8" s="493"/>
      <c r="E8" s="463"/>
      <c r="F8" s="465"/>
      <c r="G8" s="193" t="s">
        <v>310</v>
      </c>
      <c r="H8" s="255"/>
      <c r="I8" s="127">
        <v>229.5</v>
      </c>
      <c r="J8" s="133"/>
      <c r="K8" s="186"/>
      <c r="L8" s="186"/>
      <c r="M8" s="186"/>
      <c r="N8" s="142">
        <f t="shared" si="2"/>
        <v>275.39999999999998</v>
      </c>
      <c r="O8" s="143">
        <f t="shared" ref="O8:O14" si="10">(J8+K8)*1.2</f>
        <v>0</v>
      </c>
      <c r="P8" s="217">
        <f t="shared" ref="P8:P14" si="11">O8+N8-L8-M8</f>
        <v>275.39999999999998</v>
      </c>
      <c r="Q8" s="143">
        <f t="shared" ref="Q8:Q14" si="12">K8*1.2</f>
        <v>0</v>
      </c>
      <c r="R8" s="233">
        <f t="shared" ref="R8:R14" si="13">P8-ABS(Q8)</f>
        <v>275.39999999999998</v>
      </c>
      <c r="S8" s="461"/>
    </row>
    <row r="9" spans="1:19" ht="15" customHeight="1" x14ac:dyDescent="0.25">
      <c r="A9" s="504"/>
      <c r="B9" s="525"/>
      <c r="C9" s="529"/>
      <c r="D9" s="493"/>
      <c r="E9" s="463"/>
      <c r="F9" s="465"/>
      <c r="G9" s="193" t="s">
        <v>336</v>
      </c>
      <c r="H9" s="256"/>
      <c r="I9" s="232">
        <v>568.65</v>
      </c>
      <c r="J9" s="191"/>
      <c r="K9" s="192"/>
      <c r="L9" s="192"/>
      <c r="M9" s="192"/>
      <c r="N9" s="142">
        <f t="shared" si="2"/>
        <v>682.38</v>
      </c>
      <c r="O9" s="143">
        <f t="shared" si="10"/>
        <v>0</v>
      </c>
      <c r="P9" s="217">
        <f t="shared" si="11"/>
        <v>682.38</v>
      </c>
      <c r="Q9" s="143">
        <f t="shared" si="12"/>
        <v>0</v>
      </c>
      <c r="R9" s="233">
        <f t="shared" si="13"/>
        <v>682.38</v>
      </c>
      <c r="S9" s="461"/>
    </row>
    <row r="10" spans="1:19" ht="15" customHeight="1" x14ac:dyDescent="0.25">
      <c r="A10" s="504"/>
      <c r="B10" s="525"/>
      <c r="C10" s="529"/>
      <c r="D10" s="493"/>
      <c r="E10" s="463"/>
      <c r="F10" s="465"/>
      <c r="G10" s="193" t="s">
        <v>337</v>
      </c>
      <c r="H10" s="256"/>
      <c r="I10" s="232">
        <v>510</v>
      </c>
      <c r="J10" s="191"/>
      <c r="K10" s="192"/>
      <c r="L10" s="192"/>
      <c r="M10" s="192"/>
      <c r="N10" s="142">
        <f t="shared" si="2"/>
        <v>612</v>
      </c>
      <c r="O10" s="143">
        <f t="shared" si="10"/>
        <v>0</v>
      </c>
      <c r="P10" s="217">
        <f t="shared" si="11"/>
        <v>612</v>
      </c>
      <c r="Q10" s="143">
        <f t="shared" si="12"/>
        <v>0</v>
      </c>
      <c r="R10" s="233">
        <f t="shared" si="13"/>
        <v>612</v>
      </c>
      <c r="S10" s="461"/>
    </row>
    <row r="11" spans="1:19" ht="15" customHeight="1" x14ac:dyDescent="0.25">
      <c r="A11" s="504"/>
      <c r="B11" s="525"/>
      <c r="C11" s="529"/>
      <c r="D11" s="493"/>
      <c r="E11" s="463"/>
      <c r="F11" s="465"/>
      <c r="G11" s="230" t="s">
        <v>347</v>
      </c>
      <c r="H11" s="256"/>
      <c r="I11" s="232">
        <v>688.5</v>
      </c>
      <c r="J11" s="191"/>
      <c r="K11" s="192"/>
      <c r="L11" s="192"/>
      <c r="M11" s="192"/>
      <c r="N11" s="142">
        <f t="shared" ref="N11:N13" si="14">(I11+K11)*1.2</f>
        <v>826.19999999999993</v>
      </c>
      <c r="O11" s="143">
        <f t="shared" ref="O11:O13" si="15">(J11+K11)*1.2</f>
        <v>0</v>
      </c>
      <c r="P11" s="217">
        <f t="shared" ref="P11:P13" si="16">O11+N11-L11-M11</f>
        <v>826.19999999999993</v>
      </c>
      <c r="Q11" s="143">
        <f t="shared" ref="Q11:Q13" si="17">K11*1.2</f>
        <v>0</v>
      </c>
      <c r="R11" s="233">
        <f t="shared" ref="R11:R13" si="18">P11-ABS(Q11)</f>
        <v>826.19999999999993</v>
      </c>
      <c r="S11" s="461"/>
    </row>
    <row r="12" spans="1:19" ht="15" customHeight="1" x14ac:dyDescent="0.25">
      <c r="A12" s="504"/>
      <c r="B12" s="525"/>
      <c r="C12" s="529"/>
      <c r="D12" s="493"/>
      <c r="E12" s="463"/>
      <c r="F12" s="465"/>
      <c r="G12" s="230" t="s">
        <v>369</v>
      </c>
      <c r="H12" s="256"/>
      <c r="I12" s="232">
        <v>229.5</v>
      </c>
      <c r="J12" s="191"/>
      <c r="K12" s="192"/>
      <c r="L12" s="192"/>
      <c r="M12" s="192"/>
      <c r="N12" s="142">
        <f t="shared" si="14"/>
        <v>275.39999999999998</v>
      </c>
      <c r="O12" s="143">
        <f t="shared" si="15"/>
        <v>0</v>
      </c>
      <c r="P12" s="217">
        <f t="shared" si="16"/>
        <v>275.39999999999998</v>
      </c>
      <c r="Q12" s="143">
        <f t="shared" si="17"/>
        <v>0</v>
      </c>
      <c r="R12" s="233">
        <f t="shared" si="18"/>
        <v>275.39999999999998</v>
      </c>
      <c r="S12" s="461"/>
    </row>
    <row r="13" spans="1:19" ht="15" customHeight="1" x14ac:dyDescent="0.25">
      <c r="A13" s="504"/>
      <c r="B13" s="525"/>
      <c r="C13" s="529"/>
      <c r="D13" s="493"/>
      <c r="E13" s="463"/>
      <c r="F13" s="465"/>
      <c r="G13" s="230" t="s">
        <v>372</v>
      </c>
      <c r="H13" s="256"/>
      <c r="I13" s="232">
        <v>229.5</v>
      </c>
      <c r="J13" s="191"/>
      <c r="K13" s="192"/>
      <c r="L13" s="192"/>
      <c r="M13" s="192"/>
      <c r="N13" s="142">
        <f t="shared" si="14"/>
        <v>275.39999999999998</v>
      </c>
      <c r="O13" s="143">
        <f t="shared" si="15"/>
        <v>0</v>
      </c>
      <c r="P13" s="217">
        <f t="shared" si="16"/>
        <v>275.39999999999998</v>
      </c>
      <c r="Q13" s="143">
        <f t="shared" si="17"/>
        <v>0</v>
      </c>
      <c r="R13" s="233">
        <f t="shared" si="18"/>
        <v>275.39999999999998</v>
      </c>
      <c r="S13" s="461"/>
    </row>
    <row r="14" spans="1:19" x14ac:dyDescent="0.25">
      <c r="A14" s="504"/>
      <c r="B14" s="525"/>
      <c r="C14" s="529"/>
      <c r="D14" s="493"/>
      <c r="E14" s="463"/>
      <c r="F14" s="465"/>
      <c r="G14" s="193" t="s">
        <v>382</v>
      </c>
      <c r="H14" s="255"/>
      <c r="I14" s="127">
        <v>229.5</v>
      </c>
      <c r="J14" s="133"/>
      <c r="K14" s="186"/>
      <c r="L14" s="186"/>
      <c r="M14" s="186"/>
      <c r="N14" s="143">
        <f t="shared" si="2"/>
        <v>275.39999999999998</v>
      </c>
      <c r="O14" s="143">
        <f t="shared" si="10"/>
        <v>0</v>
      </c>
      <c r="P14" s="217">
        <f t="shared" si="11"/>
        <v>275.39999999999998</v>
      </c>
      <c r="Q14" s="143">
        <f t="shared" si="12"/>
        <v>0</v>
      </c>
      <c r="R14" s="233">
        <f t="shared" si="13"/>
        <v>275.39999999999998</v>
      </c>
      <c r="S14" s="461"/>
    </row>
    <row r="15" spans="1:19" x14ac:dyDescent="0.25">
      <c r="A15" s="504"/>
      <c r="B15" s="525"/>
      <c r="C15" s="529"/>
      <c r="D15" s="237" t="s">
        <v>413</v>
      </c>
      <c r="E15" s="463"/>
      <c r="F15" s="465"/>
      <c r="G15" s="193" t="s">
        <v>395</v>
      </c>
      <c r="H15" s="255"/>
      <c r="I15" s="127">
        <v>2310.3000000000002</v>
      </c>
      <c r="J15" s="133"/>
      <c r="K15" s="186"/>
      <c r="L15" s="186"/>
      <c r="M15" s="186"/>
      <c r="N15" s="143">
        <f t="shared" ref="N15:N16" si="19">(I15+K15)*1.2</f>
        <v>2772.36</v>
      </c>
      <c r="O15" s="143">
        <f t="shared" ref="O15:O16" si="20">(J15+K15)*1.2</f>
        <v>0</v>
      </c>
      <c r="P15" s="217">
        <f t="shared" ref="P15:P16" si="21">O15+N15-L15-M15</f>
        <v>2772.36</v>
      </c>
      <c r="Q15" s="143">
        <f t="shared" ref="Q15:Q16" si="22">K15*1.2</f>
        <v>0</v>
      </c>
      <c r="R15" s="233">
        <f t="shared" ref="R15:R16" si="23">P15-ABS(Q15)</f>
        <v>2772.36</v>
      </c>
      <c r="S15" s="461"/>
    </row>
    <row r="16" spans="1:19" ht="15.75" thickBot="1" x14ac:dyDescent="0.3">
      <c r="A16" s="504"/>
      <c r="B16" s="525"/>
      <c r="C16" s="529"/>
      <c r="D16" s="237"/>
      <c r="E16" s="463"/>
      <c r="F16" s="465"/>
      <c r="G16" s="193" t="s">
        <v>412</v>
      </c>
      <c r="H16" s="255"/>
      <c r="I16" s="127">
        <v>394.97</v>
      </c>
      <c r="J16" s="133"/>
      <c r="K16" s="186"/>
      <c r="L16" s="186"/>
      <c r="M16" s="186"/>
      <c r="N16" s="143">
        <f t="shared" si="19"/>
        <v>473.964</v>
      </c>
      <c r="O16" s="143">
        <f t="shared" si="20"/>
        <v>0</v>
      </c>
      <c r="P16" s="217">
        <f t="shared" si="21"/>
        <v>473.964</v>
      </c>
      <c r="Q16" s="143">
        <f t="shared" si="22"/>
        <v>0</v>
      </c>
      <c r="R16" s="233">
        <f t="shared" si="23"/>
        <v>473.964</v>
      </c>
      <c r="S16" s="461"/>
    </row>
    <row r="17" spans="1:19" ht="15" customHeight="1" x14ac:dyDescent="0.25">
      <c r="A17" s="504"/>
      <c r="B17" s="525"/>
      <c r="C17" s="529"/>
      <c r="D17" s="493" t="s">
        <v>270</v>
      </c>
      <c r="E17" s="463"/>
      <c r="F17" s="464">
        <v>6793.2</v>
      </c>
      <c r="G17" s="331" t="s">
        <v>272</v>
      </c>
      <c r="H17" s="257"/>
      <c r="I17" s="332">
        <v>344.25</v>
      </c>
      <c r="J17" s="219"/>
      <c r="K17" s="218"/>
      <c r="L17" s="218"/>
      <c r="M17" s="218"/>
      <c r="N17" s="220">
        <f t="shared" si="2"/>
        <v>413.09999999999997</v>
      </c>
      <c r="O17" s="220">
        <f t="shared" si="0"/>
        <v>0</v>
      </c>
      <c r="P17" s="221">
        <f t="shared" si="3"/>
        <v>413.09999999999997</v>
      </c>
      <c r="Q17" s="220">
        <f t="shared" si="1"/>
        <v>0</v>
      </c>
      <c r="R17" s="234">
        <f t="shared" si="4"/>
        <v>413.09999999999997</v>
      </c>
      <c r="S17" s="460">
        <f>F17-SUM(R17:R25)</f>
        <v>910.14000000000124</v>
      </c>
    </row>
    <row r="18" spans="1:19" x14ac:dyDescent="0.25">
      <c r="A18" s="504"/>
      <c r="B18" s="525"/>
      <c r="C18" s="529"/>
      <c r="D18" s="493"/>
      <c r="E18" s="463"/>
      <c r="F18" s="465"/>
      <c r="G18" s="193" t="s">
        <v>273</v>
      </c>
      <c r="H18" s="255"/>
      <c r="I18" s="127">
        <v>688.5</v>
      </c>
      <c r="J18" s="133"/>
      <c r="K18" s="186"/>
      <c r="L18" s="186"/>
      <c r="M18" s="186"/>
      <c r="N18" s="142">
        <f t="shared" ref="N18:N19" si="24">(I18+K18)*1.2</f>
        <v>826.19999999999993</v>
      </c>
      <c r="O18" s="142">
        <f t="shared" ref="O18:O19" si="25">(J18+K18)*1.2</f>
        <v>0</v>
      </c>
      <c r="P18" s="151">
        <f t="shared" ref="P18:P19" si="26">O18+N18-L18-M18</f>
        <v>826.19999999999993</v>
      </c>
      <c r="Q18" s="142">
        <f t="shared" ref="Q18:Q19" si="27">K18*1.2</f>
        <v>0</v>
      </c>
      <c r="R18" s="235">
        <f t="shared" ref="R18:R19" si="28">P18-ABS(Q18)</f>
        <v>826.19999999999993</v>
      </c>
      <c r="S18" s="461"/>
    </row>
    <row r="19" spans="1:19" x14ac:dyDescent="0.25">
      <c r="A19" s="504"/>
      <c r="B19" s="525"/>
      <c r="C19" s="529"/>
      <c r="D19" s="493"/>
      <c r="E19" s="463"/>
      <c r="F19" s="465"/>
      <c r="G19" s="193" t="s">
        <v>274</v>
      </c>
      <c r="H19" s="255"/>
      <c r="I19" s="127">
        <v>344.25</v>
      </c>
      <c r="J19" s="133"/>
      <c r="K19" s="186"/>
      <c r="L19" s="186"/>
      <c r="M19" s="186"/>
      <c r="N19" s="142">
        <f t="shared" si="24"/>
        <v>413.09999999999997</v>
      </c>
      <c r="O19" s="142">
        <f t="shared" si="25"/>
        <v>0</v>
      </c>
      <c r="P19" s="151">
        <f t="shared" si="26"/>
        <v>413.09999999999997</v>
      </c>
      <c r="Q19" s="142">
        <f t="shared" si="27"/>
        <v>0</v>
      </c>
      <c r="R19" s="235">
        <f t="shared" si="28"/>
        <v>413.09999999999997</v>
      </c>
      <c r="S19" s="461"/>
    </row>
    <row r="20" spans="1:19" x14ac:dyDescent="0.25">
      <c r="A20" s="504"/>
      <c r="B20" s="525"/>
      <c r="C20" s="529"/>
      <c r="D20" s="493"/>
      <c r="E20" s="463"/>
      <c r="F20" s="465"/>
      <c r="G20" s="193" t="s">
        <v>275</v>
      </c>
      <c r="H20" s="255"/>
      <c r="I20" s="127">
        <f>2*688.5</f>
        <v>1377</v>
      </c>
      <c r="J20" s="133"/>
      <c r="K20" s="186"/>
      <c r="L20" s="186"/>
      <c r="M20" s="186"/>
      <c r="N20" s="142">
        <f t="shared" si="2"/>
        <v>1652.3999999999999</v>
      </c>
      <c r="O20" s="142">
        <f t="shared" si="0"/>
        <v>0</v>
      </c>
      <c r="P20" s="151">
        <f t="shared" si="3"/>
        <v>1652.3999999999999</v>
      </c>
      <c r="Q20" s="142">
        <f t="shared" si="1"/>
        <v>0</v>
      </c>
      <c r="R20" s="235">
        <f t="shared" si="4"/>
        <v>1652.3999999999999</v>
      </c>
      <c r="S20" s="461"/>
    </row>
    <row r="21" spans="1:19" x14ac:dyDescent="0.25">
      <c r="A21" s="504"/>
      <c r="B21" s="525"/>
      <c r="C21" s="529"/>
      <c r="D21" s="493"/>
      <c r="E21" s="463"/>
      <c r="F21" s="465"/>
      <c r="G21" s="193" t="s">
        <v>276</v>
      </c>
      <c r="H21" s="255"/>
      <c r="I21" s="127">
        <v>1169.3599999999999</v>
      </c>
      <c r="J21" s="133"/>
      <c r="K21" s="186"/>
      <c r="L21" s="186"/>
      <c r="M21" s="186"/>
      <c r="N21" s="142">
        <f t="shared" si="2"/>
        <v>1403.2319999999997</v>
      </c>
      <c r="O21" s="142">
        <f t="shared" si="0"/>
        <v>0</v>
      </c>
      <c r="P21" s="151">
        <f t="shared" si="3"/>
        <v>1403.2319999999997</v>
      </c>
      <c r="Q21" s="142">
        <f t="shared" si="1"/>
        <v>0</v>
      </c>
      <c r="R21" s="235">
        <f t="shared" si="4"/>
        <v>1403.2319999999997</v>
      </c>
      <c r="S21" s="461"/>
    </row>
    <row r="22" spans="1:19" x14ac:dyDescent="0.25">
      <c r="A22" s="504"/>
      <c r="B22" s="525"/>
      <c r="C22" s="529"/>
      <c r="D22" s="493"/>
      <c r="E22" s="463"/>
      <c r="F22" s="465"/>
      <c r="G22" s="193" t="s">
        <v>302</v>
      </c>
      <c r="H22" s="255"/>
      <c r="I22" s="127">
        <v>98.36</v>
      </c>
      <c r="J22" s="133"/>
      <c r="K22" s="186"/>
      <c r="L22" s="186"/>
      <c r="M22" s="186"/>
      <c r="N22" s="142">
        <f t="shared" si="2"/>
        <v>118.032</v>
      </c>
      <c r="O22" s="142">
        <f t="shared" si="0"/>
        <v>0</v>
      </c>
      <c r="P22" s="151">
        <f t="shared" si="3"/>
        <v>118.032</v>
      </c>
      <c r="Q22" s="142">
        <f t="shared" si="1"/>
        <v>0</v>
      </c>
      <c r="R22" s="235">
        <f t="shared" si="4"/>
        <v>118.032</v>
      </c>
      <c r="S22" s="461"/>
    </row>
    <row r="23" spans="1:19" x14ac:dyDescent="0.25">
      <c r="A23" s="504"/>
      <c r="B23" s="525"/>
      <c r="C23" s="529"/>
      <c r="D23" s="493"/>
      <c r="E23" s="463"/>
      <c r="F23" s="465"/>
      <c r="G23" s="193" t="s">
        <v>310</v>
      </c>
      <c r="H23" s="256"/>
      <c r="I23" s="232">
        <v>196.71</v>
      </c>
      <c r="J23" s="191"/>
      <c r="K23" s="192"/>
      <c r="L23" s="192"/>
      <c r="M23" s="192"/>
      <c r="N23" s="142">
        <f t="shared" si="2"/>
        <v>236.05199999999999</v>
      </c>
      <c r="O23" s="142">
        <f t="shared" ref="O23:O26" si="29">(J23+K23)*1.2</f>
        <v>0</v>
      </c>
      <c r="P23" s="151">
        <f t="shared" ref="P23:P26" si="30">O23+N23-L23-M23</f>
        <v>236.05199999999999</v>
      </c>
      <c r="Q23" s="142">
        <f t="shared" ref="Q23:Q26" si="31">K23*1.2</f>
        <v>0</v>
      </c>
      <c r="R23" s="235">
        <f t="shared" ref="R23:R26" si="32">P23-ABS(Q23)</f>
        <v>236.05199999999999</v>
      </c>
      <c r="S23" s="461"/>
    </row>
    <row r="24" spans="1:19" x14ac:dyDescent="0.25">
      <c r="A24" s="504"/>
      <c r="B24" s="525"/>
      <c r="C24" s="529"/>
      <c r="D24" s="493"/>
      <c r="E24" s="463"/>
      <c r="F24" s="465"/>
      <c r="G24" s="362" t="s">
        <v>366</v>
      </c>
      <c r="H24" s="256"/>
      <c r="I24" s="191">
        <v>98.35</v>
      </c>
      <c r="J24" s="191"/>
      <c r="K24" s="192"/>
      <c r="L24" s="192"/>
      <c r="M24" s="192"/>
      <c r="N24" s="142">
        <f t="shared" ref="N24:N25" si="33">(I24+K24)*1.2</f>
        <v>118.01999999999998</v>
      </c>
      <c r="O24" s="142">
        <f t="shared" ref="O24:O25" si="34">(J24+K24)*1.2</f>
        <v>0</v>
      </c>
      <c r="P24" s="151">
        <f t="shared" ref="P24:P25" si="35">O24+N24-L24-M24</f>
        <v>118.01999999999998</v>
      </c>
      <c r="Q24" s="142">
        <f t="shared" ref="Q24:Q25" si="36">K24*1.2</f>
        <v>0</v>
      </c>
      <c r="R24" s="235">
        <f t="shared" ref="R24:R25" si="37">P24-ABS(Q24)</f>
        <v>118.01999999999998</v>
      </c>
      <c r="S24" s="461"/>
    </row>
    <row r="25" spans="1:19" ht="15.75" thickBot="1" x14ac:dyDescent="0.3">
      <c r="A25" s="504"/>
      <c r="B25" s="525"/>
      <c r="C25" s="529"/>
      <c r="D25" s="493"/>
      <c r="E25" s="463"/>
      <c r="F25" s="465"/>
      <c r="G25" s="193" t="s">
        <v>394</v>
      </c>
      <c r="H25" s="255"/>
      <c r="I25" s="127">
        <v>585.77</v>
      </c>
      <c r="J25" s="191"/>
      <c r="K25" s="192"/>
      <c r="L25" s="192"/>
      <c r="M25" s="192"/>
      <c r="N25" s="142">
        <f t="shared" si="33"/>
        <v>702.92399999999998</v>
      </c>
      <c r="O25" s="142">
        <f t="shared" si="34"/>
        <v>0</v>
      </c>
      <c r="P25" s="151">
        <f t="shared" si="35"/>
        <v>702.92399999999998</v>
      </c>
      <c r="Q25" s="142">
        <f t="shared" si="36"/>
        <v>0</v>
      </c>
      <c r="R25" s="235">
        <f t="shared" si="37"/>
        <v>702.92399999999998</v>
      </c>
      <c r="S25" s="461"/>
    </row>
    <row r="26" spans="1:19" ht="42.75" customHeight="1" x14ac:dyDescent="0.25">
      <c r="A26" s="504"/>
      <c r="B26" s="525"/>
      <c r="C26" s="528" t="s">
        <v>328</v>
      </c>
      <c r="D26" s="530" t="s">
        <v>323</v>
      </c>
      <c r="E26" s="478" t="s">
        <v>303</v>
      </c>
      <c r="F26" s="521">
        <v>18048.7</v>
      </c>
      <c r="G26" s="218" t="s">
        <v>322</v>
      </c>
      <c r="H26" s="257"/>
      <c r="I26" s="219">
        <v>5041.5200000000004</v>
      </c>
      <c r="J26" s="219"/>
      <c r="K26" s="218"/>
      <c r="L26" s="218"/>
      <c r="M26" s="218"/>
      <c r="N26" s="220">
        <f t="shared" si="2"/>
        <v>6049.8240000000005</v>
      </c>
      <c r="O26" s="220">
        <f t="shared" si="29"/>
        <v>0</v>
      </c>
      <c r="P26" s="221">
        <f t="shared" si="30"/>
        <v>6049.8240000000005</v>
      </c>
      <c r="Q26" s="220">
        <f t="shared" si="31"/>
        <v>0</v>
      </c>
      <c r="R26" s="220">
        <f t="shared" si="32"/>
        <v>6049.8240000000005</v>
      </c>
      <c r="S26" s="483">
        <f>F26-SUM(R26:R36)</f>
        <v>-183.7400000000016</v>
      </c>
    </row>
    <row r="27" spans="1:19" ht="42.75" x14ac:dyDescent="0.25">
      <c r="A27" s="504"/>
      <c r="B27" s="525"/>
      <c r="C27" s="529"/>
      <c r="D27" s="490"/>
      <c r="E27" s="479"/>
      <c r="F27" s="522"/>
      <c r="G27" s="186" t="s">
        <v>325</v>
      </c>
      <c r="H27" s="255"/>
      <c r="I27" s="133">
        <v>615.34</v>
      </c>
      <c r="J27" s="133"/>
      <c r="K27" s="186"/>
      <c r="L27" s="186"/>
      <c r="M27" s="186"/>
      <c r="N27" s="142">
        <f t="shared" si="2"/>
        <v>738.40800000000002</v>
      </c>
      <c r="O27" s="142">
        <f t="shared" ref="O27" si="38">(J27+K27)*1.2</f>
        <v>0</v>
      </c>
      <c r="P27" s="151">
        <f t="shared" ref="P27" si="39">O27+N27-L27-M27</f>
        <v>738.40800000000002</v>
      </c>
      <c r="Q27" s="142">
        <f t="shared" ref="Q27" si="40">K27*1.2</f>
        <v>0</v>
      </c>
      <c r="R27" s="142">
        <f t="shared" ref="R27" si="41">P27-ABS(Q27)</f>
        <v>738.40800000000002</v>
      </c>
      <c r="S27" s="484"/>
    </row>
    <row r="28" spans="1:19" x14ac:dyDescent="0.25">
      <c r="A28" s="504"/>
      <c r="B28" s="525"/>
      <c r="C28" s="529"/>
      <c r="D28" s="490"/>
      <c r="E28" s="479"/>
      <c r="F28" s="522"/>
      <c r="G28" s="186" t="s">
        <v>330</v>
      </c>
      <c r="H28" s="255"/>
      <c r="I28" s="133">
        <v>614.62</v>
      </c>
      <c r="J28" s="133"/>
      <c r="K28" s="186"/>
      <c r="L28" s="186"/>
      <c r="M28" s="186"/>
      <c r="N28" s="142">
        <f t="shared" si="2"/>
        <v>737.54399999999998</v>
      </c>
      <c r="O28" s="142">
        <f t="shared" ref="O28:O38" si="42">(J28+K28)*1.2</f>
        <v>0</v>
      </c>
      <c r="P28" s="151">
        <f t="shared" ref="P28:P38" si="43">O28+N28-L28-M28</f>
        <v>737.54399999999998</v>
      </c>
      <c r="Q28" s="142">
        <f t="shared" ref="Q28:Q38" si="44">K28*1.2</f>
        <v>0</v>
      </c>
      <c r="R28" s="142">
        <f t="shared" ref="R28:R38" si="45">P28-ABS(Q28)</f>
        <v>737.54399999999998</v>
      </c>
      <c r="S28" s="484"/>
    </row>
    <row r="29" spans="1:19" ht="28.5" x14ac:dyDescent="0.25">
      <c r="A29" s="504"/>
      <c r="B29" s="525"/>
      <c r="C29" s="529"/>
      <c r="D29" s="490"/>
      <c r="E29" s="479"/>
      <c r="F29" s="522"/>
      <c r="G29" s="186" t="s">
        <v>331</v>
      </c>
      <c r="H29" s="255"/>
      <c r="I29" s="133">
        <v>1351.1</v>
      </c>
      <c r="J29" s="133"/>
      <c r="K29" s="186"/>
      <c r="L29" s="186"/>
      <c r="M29" s="186"/>
      <c r="N29" s="142">
        <f t="shared" si="2"/>
        <v>1621.32</v>
      </c>
      <c r="O29" s="142">
        <f t="shared" si="42"/>
        <v>0</v>
      </c>
      <c r="P29" s="151">
        <f t="shared" si="43"/>
        <v>1621.32</v>
      </c>
      <c r="Q29" s="142">
        <f t="shared" si="44"/>
        <v>0</v>
      </c>
      <c r="R29" s="142">
        <f t="shared" si="45"/>
        <v>1621.32</v>
      </c>
      <c r="S29" s="484"/>
    </row>
    <row r="30" spans="1:19" ht="28.5" x14ac:dyDescent="0.25">
      <c r="A30" s="504"/>
      <c r="B30" s="525"/>
      <c r="C30" s="529"/>
      <c r="D30" s="490"/>
      <c r="E30" s="479"/>
      <c r="F30" s="522"/>
      <c r="G30" s="186" t="s">
        <v>332</v>
      </c>
      <c r="H30" s="255"/>
      <c r="I30" s="133">
        <v>556.75</v>
      </c>
      <c r="J30" s="133"/>
      <c r="K30" s="186"/>
      <c r="L30" s="186"/>
      <c r="M30" s="186"/>
      <c r="N30" s="142">
        <f t="shared" ref="N30" si="46">(I30+K30)*1.2</f>
        <v>668.1</v>
      </c>
      <c r="O30" s="142">
        <f t="shared" si="42"/>
        <v>0</v>
      </c>
      <c r="P30" s="151">
        <f t="shared" si="43"/>
        <v>668.1</v>
      </c>
      <c r="Q30" s="142">
        <f t="shared" si="44"/>
        <v>0</v>
      </c>
      <c r="R30" s="142">
        <f t="shared" si="45"/>
        <v>668.1</v>
      </c>
      <c r="S30" s="484"/>
    </row>
    <row r="31" spans="1:19" ht="28.5" x14ac:dyDescent="0.25">
      <c r="A31" s="504"/>
      <c r="B31" s="525"/>
      <c r="C31" s="529"/>
      <c r="D31" s="490"/>
      <c r="E31" s="479"/>
      <c r="F31" s="522"/>
      <c r="G31" s="186" t="s">
        <v>346</v>
      </c>
      <c r="H31" s="255"/>
      <c r="I31" s="133">
        <v>1424.81</v>
      </c>
      <c r="J31" s="133"/>
      <c r="K31" s="186"/>
      <c r="L31" s="186"/>
      <c r="M31" s="186"/>
      <c r="N31" s="142">
        <f t="shared" si="2"/>
        <v>1709.7719999999999</v>
      </c>
      <c r="O31" s="142">
        <f t="shared" si="42"/>
        <v>0</v>
      </c>
      <c r="P31" s="151">
        <f t="shared" si="43"/>
        <v>1709.7719999999999</v>
      </c>
      <c r="Q31" s="142">
        <f t="shared" si="44"/>
        <v>0</v>
      </c>
      <c r="R31" s="142">
        <f t="shared" si="45"/>
        <v>1709.7719999999999</v>
      </c>
      <c r="S31" s="484"/>
    </row>
    <row r="32" spans="1:19" ht="28.5" x14ac:dyDescent="0.25">
      <c r="A32" s="504"/>
      <c r="B32" s="525"/>
      <c r="C32" s="529"/>
      <c r="D32" s="490"/>
      <c r="E32" s="479"/>
      <c r="F32" s="522"/>
      <c r="G32" s="186" t="s">
        <v>373</v>
      </c>
      <c r="H32" s="255"/>
      <c r="I32" s="133">
        <v>685.56</v>
      </c>
      <c r="J32" s="133"/>
      <c r="K32" s="186"/>
      <c r="L32" s="186"/>
      <c r="M32" s="186"/>
      <c r="N32" s="142">
        <f t="shared" si="2"/>
        <v>822.67199999999991</v>
      </c>
      <c r="O32" s="142"/>
      <c r="P32" s="151">
        <f t="shared" ref="P32:P33" si="47">O32+N32-L32-M32</f>
        <v>822.67199999999991</v>
      </c>
      <c r="Q32" s="142">
        <f t="shared" ref="Q32:Q33" si="48">K32*1.2</f>
        <v>0</v>
      </c>
      <c r="R32" s="142">
        <f t="shared" ref="R32:R33" si="49">P32-ABS(Q32)</f>
        <v>822.67199999999991</v>
      </c>
      <c r="S32" s="484"/>
    </row>
    <row r="33" spans="1:19" ht="28.5" x14ac:dyDescent="0.25">
      <c r="A33" s="504"/>
      <c r="B33" s="525"/>
      <c r="C33" s="529"/>
      <c r="D33" s="490"/>
      <c r="E33" s="479"/>
      <c r="F33" s="522"/>
      <c r="G33" s="186" t="s">
        <v>381</v>
      </c>
      <c r="H33" s="255"/>
      <c r="I33" s="133">
        <v>685.59</v>
      </c>
      <c r="J33" s="133"/>
      <c r="K33" s="186"/>
      <c r="L33" s="186"/>
      <c r="M33" s="186"/>
      <c r="N33" s="142">
        <f t="shared" si="2"/>
        <v>822.70799999999997</v>
      </c>
      <c r="O33" s="142"/>
      <c r="P33" s="151">
        <f t="shared" si="47"/>
        <v>822.70799999999997</v>
      </c>
      <c r="Q33" s="142">
        <f t="shared" si="48"/>
        <v>0</v>
      </c>
      <c r="R33" s="142">
        <f t="shared" si="49"/>
        <v>822.70799999999997</v>
      </c>
      <c r="S33" s="484"/>
    </row>
    <row r="34" spans="1:19" x14ac:dyDescent="0.25">
      <c r="A34" s="504"/>
      <c r="B34" s="525"/>
      <c r="C34" s="529"/>
      <c r="D34" s="490"/>
      <c r="E34" s="479"/>
      <c r="F34" s="522"/>
      <c r="G34" s="1" t="s">
        <v>368</v>
      </c>
      <c r="H34" s="255"/>
      <c r="I34" s="133">
        <v>685.59</v>
      </c>
      <c r="J34" s="133"/>
      <c r="K34" s="186"/>
      <c r="L34" s="186"/>
      <c r="M34" s="186"/>
      <c r="N34" s="142">
        <f t="shared" si="2"/>
        <v>822.70799999999997</v>
      </c>
      <c r="O34" s="142">
        <f t="shared" si="42"/>
        <v>0</v>
      </c>
      <c r="P34" s="151">
        <f t="shared" si="43"/>
        <v>822.70799999999997</v>
      </c>
      <c r="Q34" s="142">
        <f t="shared" si="44"/>
        <v>0</v>
      </c>
      <c r="R34" s="142">
        <f t="shared" si="45"/>
        <v>822.70799999999997</v>
      </c>
      <c r="S34" s="484"/>
    </row>
    <row r="35" spans="1:19" x14ac:dyDescent="0.25">
      <c r="A35" s="504"/>
      <c r="B35" s="525"/>
      <c r="C35" s="529"/>
      <c r="D35" s="490"/>
      <c r="E35" s="479"/>
      <c r="F35" s="522"/>
      <c r="G35" s="1" t="s">
        <v>396</v>
      </c>
      <c r="H35" s="255"/>
      <c r="I35" s="133">
        <v>3237.75</v>
      </c>
      <c r="J35" s="133"/>
      <c r="K35" s="186"/>
      <c r="L35" s="186"/>
      <c r="M35" s="186"/>
      <c r="N35" s="142">
        <f t="shared" si="2"/>
        <v>3885.2999999999997</v>
      </c>
      <c r="O35" s="142">
        <f t="shared" ref="O35:O36" si="50">(J35+K35)*1.2</f>
        <v>0</v>
      </c>
      <c r="P35" s="151">
        <f t="shared" ref="P35:P36" si="51">O35+N35-L35-M35</f>
        <v>3885.2999999999997</v>
      </c>
      <c r="Q35" s="142">
        <f t="shared" ref="Q35:Q36" si="52">K35*1.2</f>
        <v>0</v>
      </c>
      <c r="R35" s="142">
        <f t="shared" ref="R35:R36" si="53">P35-ABS(Q35)</f>
        <v>3885.2999999999997</v>
      </c>
      <c r="S35" s="484"/>
    </row>
    <row r="36" spans="1:19" ht="29.25" thickBot="1" x14ac:dyDescent="0.3">
      <c r="A36" s="504"/>
      <c r="B36" s="525"/>
      <c r="C36" s="531"/>
      <c r="D36" s="491"/>
      <c r="E36" s="480"/>
      <c r="F36" s="523"/>
      <c r="G36" s="209" t="s">
        <v>349</v>
      </c>
      <c r="H36" s="258"/>
      <c r="I36" s="210">
        <v>295.07</v>
      </c>
      <c r="J36" s="210"/>
      <c r="K36" s="209"/>
      <c r="L36" s="209"/>
      <c r="M36" s="209"/>
      <c r="N36" s="211">
        <f t="shared" ref="N36" si="54">(I36+K36)*1.2</f>
        <v>354.084</v>
      </c>
      <c r="O36" s="211">
        <f t="shared" si="50"/>
        <v>0</v>
      </c>
      <c r="P36" s="212">
        <f t="shared" si="51"/>
        <v>354.084</v>
      </c>
      <c r="Q36" s="211">
        <f t="shared" si="52"/>
        <v>0</v>
      </c>
      <c r="R36" s="211">
        <f t="shared" si="53"/>
        <v>354.084</v>
      </c>
      <c r="S36" s="485"/>
    </row>
    <row r="37" spans="1:19" ht="42.75" customHeight="1" x14ac:dyDescent="0.25">
      <c r="A37" s="504"/>
      <c r="B37" s="525"/>
      <c r="C37" s="528" t="s">
        <v>327</v>
      </c>
      <c r="D37" s="494" t="s">
        <v>324</v>
      </c>
      <c r="E37" s="526" t="s">
        <v>329</v>
      </c>
      <c r="F37" s="481">
        <v>7415.92</v>
      </c>
      <c r="G37" s="218" t="s">
        <v>326</v>
      </c>
      <c r="H37" s="257"/>
      <c r="I37" s="219">
        <v>4390.37</v>
      </c>
      <c r="J37" s="219"/>
      <c r="K37" s="218"/>
      <c r="L37" s="218"/>
      <c r="M37" s="218"/>
      <c r="N37" s="220">
        <f>(I37+K37)*1.2</f>
        <v>5268.4439999999995</v>
      </c>
      <c r="O37" s="220">
        <f t="shared" si="42"/>
        <v>0</v>
      </c>
      <c r="P37" s="221">
        <f t="shared" si="43"/>
        <v>5268.4439999999995</v>
      </c>
      <c r="Q37" s="220">
        <f t="shared" si="44"/>
        <v>0</v>
      </c>
      <c r="R37" s="220">
        <f t="shared" si="45"/>
        <v>5268.4439999999995</v>
      </c>
      <c r="S37" s="483">
        <f>F37-SUM(R37:R45)</f>
        <v>-262.3760000000002</v>
      </c>
    </row>
    <row r="38" spans="1:19" ht="28.5" x14ac:dyDescent="0.25">
      <c r="A38" s="504"/>
      <c r="B38" s="525"/>
      <c r="C38" s="529"/>
      <c r="D38" s="493"/>
      <c r="E38" s="527"/>
      <c r="F38" s="482"/>
      <c r="G38" s="186" t="s">
        <v>333</v>
      </c>
      <c r="H38" s="255"/>
      <c r="I38" s="133">
        <v>214.74</v>
      </c>
      <c r="J38" s="133"/>
      <c r="K38" s="186"/>
      <c r="L38" s="186"/>
      <c r="M38" s="186"/>
      <c r="N38" s="142">
        <f t="shared" ref="N38:N44" si="55">(I38+K38)*1.2</f>
        <v>257.68799999999999</v>
      </c>
      <c r="O38" s="142">
        <f t="shared" si="42"/>
        <v>0</v>
      </c>
      <c r="P38" s="151">
        <f t="shared" si="43"/>
        <v>257.68799999999999</v>
      </c>
      <c r="Q38" s="142">
        <f t="shared" si="44"/>
        <v>0</v>
      </c>
      <c r="R38" s="142">
        <f t="shared" si="45"/>
        <v>257.68799999999999</v>
      </c>
      <c r="S38" s="484"/>
    </row>
    <row r="39" spans="1:19" ht="28.5" x14ac:dyDescent="0.25">
      <c r="A39" s="504"/>
      <c r="B39" s="525"/>
      <c r="C39" s="529"/>
      <c r="D39" s="493"/>
      <c r="E39" s="527"/>
      <c r="F39" s="482"/>
      <c r="G39" s="186" t="s">
        <v>335</v>
      </c>
      <c r="H39" s="255"/>
      <c r="I39" s="133">
        <v>243.71</v>
      </c>
      <c r="J39" s="133"/>
      <c r="K39" s="186"/>
      <c r="L39" s="186"/>
      <c r="M39" s="186"/>
      <c r="N39" s="142">
        <f t="shared" si="55"/>
        <v>292.452</v>
      </c>
      <c r="O39" s="142">
        <f t="shared" ref="O39:O42" si="56">(J39+K39)*1.2</f>
        <v>0</v>
      </c>
      <c r="P39" s="151">
        <f t="shared" ref="P39:P42" si="57">O39+N39-L39-M39</f>
        <v>292.452</v>
      </c>
      <c r="Q39" s="142">
        <f t="shared" ref="Q39:Q42" si="58">K39*1.2</f>
        <v>0</v>
      </c>
      <c r="R39" s="142">
        <f t="shared" ref="R39:R42" si="59">P39-ABS(Q39)</f>
        <v>292.452</v>
      </c>
      <c r="S39" s="484"/>
    </row>
    <row r="40" spans="1:19" ht="28.5" x14ac:dyDescent="0.25">
      <c r="A40" s="504"/>
      <c r="B40" s="525"/>
      <c r="C40" s="529"/>
      <c r="D40" s="493"/>
      <c r="E40" s="527"/>
      <c r="F40" s="482"/>
      <c r="G40" s="186" t="s">
        <v>334</v>
      </c>
      <c r="H40" s="255"/>
      <c r="I40" s="133">
        <v>266.05</v>
      </c>
      <c r="J40" s="133"/>
      <c r="K40" s="186"/>
      <c r="L40" s="186"/>
      <c r="M40" s="186"/>
      <c r="N40" s="142">
        <f t="shared" si="55"/>
        <v>319.26</v>
      </c>
      <c r="O40" s="142">
        <f t="shared" si="56"/>
        <v>0</v>
      </c>
      <c r="P40" s="151">
        <f t="shared" si="57"/>
        <v>319.26</v>
      </c>
      <c r="Q40" s="142">
        <f t="shared" si="58"/>
        <v>0</v>
      </c>
      <c r="R40" s="142">
        <f t="shared" si="59"/>
        <v>319.26</v>
      </c>
      <c r="S40" s="484"/>
    </row>
    <row r="41" spans="1:19" ht="28.5" x14ac:dyDescent="0.25">
      <c r="A41" s="504"/>
      <c r="B41" s="525"/>
      <c r="C41" s="529"/>
      <c r="D41" s="493"/>
      <c r="E41" s="527"/>
      <c r="F41" s="482"/>
      <c r="G41" s="186" t="s">
        <v>348</v>
      </c>
      <c r="H41" s="255"/>
      <c r="I41" s="133">
        <v>322.12</v>
      </c>
      <c r="J41" s="133"/>
      <c r="K41" s="186"/>
      <c r="L41" s="186"/>
      <c r="M41" s="186"/>
      <c r="N41" s="142">
        <f t="shared" si="55"/>
        <v>386.54399999999998</v>
      </c>
      <c r="O41" s="142">
        <f t="shared" si="56"/>
        <v>0</v>
      </c>
      <c r="P41" s="151">
        <f t="shared" si="57"/>
        <v>386.54399999999998</v>
      </c>
      <c r="Q41" s="142">
        <f t="shared" si="58"/>
        <v>0</v>
      </c>
      <c r="R41" s="142">
        <f t="shared" si="59"/>
        <v>386.54399999999998</v>
      </c>
      <c r="S41" s="484"/>
    </row>
    <row r="42" spans="1:19" x14ac:dyDescent="0.25">
      <c r="A42" s="504"/>
      <c r="B42" s="525"/>
      <c r="C42" s="529"/>
      <c r="D42" s="493"/>
      <c r="E42" s="527"/>
      <c r="F42" s="482"/>
      <c r="G42" s="186" t="s">
        <v>367</v>
      </c>
      <c r="H42" s="269"/>
      <c r="I42" s="127">
        <v>107.37</v>
      </c>
      <c r="J42" s="133"/>
      <c r="K42" s="186"/>
      <c r="L42" s="186"/>
      <c r="M42" s="186"/>
      <c r="N42" s="142">
        <f t="shared" si="55"/>
        <v>128.84399999999999</v>
      </c>
      <c r="O42" s="142">
        <f t="shared" si="56"/>
        <v>0</v>
      </c>
      <c r="P42" s="151">
        <f t="shared" si="57"/>
        <v>128.84399999999999</v>
      </c>
      <c r="Q42" s="142">
        <f t="shared" si="58"/>
        <v>0</v>
      </c>
      <c r="R42" s="142">
        <f t="shared" si="59"/>
        <v>128.84399999999999</v>
      </c>
      <c r="S42" s="484"/>
    </row>
    <row r="43" spans="1:19" x14ac:dyDescent="0.25">
      <c r="A43" s="504"/>
      <c r="B43" s="525"/>
      <c r="C43" s="529"/>
      <c r="D43" s="493"/>
      <c r="E43" s="527"/>
      <c r="F43" s="482"/>
      <c r="G43" s="186" t="s">
        <v>376</v>
      </c>
      <c r="H43" s="269"/>
      <c r="I43" s="127">
        <v>107.38</v>
      </c>
      <c r="J43" s="133"/>
      <c r="K43" s="186"/>
      <c r="L43" s="186"/>
      <c r="M43" s="186"/>
      <c r="N43" s="142">
        <f t="shared" si="55"/>
        <v>128.85599999999999</v>
      </c>
      <c r="O43" s="142">
        <f t="shared" ref="O43" si="60">(J43+K43)*1.2</f>
        <v>0</v>
      </c>
      <c r="P43" s="151">
        <f t="shared" ref="P43" si="61">O43+N43-L43-M43</f>
        <v>128.85599999999999</v>
      </c>
      <c r="Q43" s="142">
        <f t="shared" ref="Q43" si="62">K43*1.2</f>
        <v>0</v>
      </c>
      <c r="R43" s="142">
        <f t="shared" ref="R43" si="63">P43-ABS(Q43)</f>
        <v>128.85599999999999</v>
      </c>
      <c r="S43" s="484"/>
    </row>
    <row r="44" spans="1:19" x14ac:dyDescent="0.25">
      <c r="A44" s="504"/>
      <c r="B44" s="525"/>
      <c r="C44" s="529"/>
      <c r="D44" s="493"/>
      <c r="E44" s="527"/>
      <c r="F44" s="482"/>
      <c r="G44" s="1" t="s">
        <v>380</v>
      </c>
      <c r="H44" s="269"/>
      <c r="I44" s="127">
        <v>107.37</v>
      </c>
      <c r="J44" s="133"/>
      <c r="K44" s="186"/>
      <c r="L44" s="186"/>
      <c r="M44" s="186"/>
      <c r="N44" s="142">
        <f t="shared" si="55"/>
        <v>128.84399999999999</v>
      </c>
      <c r="O44" s="142">
        <f t="shared" ref="O44" si="64">(J44+K44)*1.2</f>
        <v>0</v>
      </c>
      <c r="P44" s="151">
        <f t="shared" ref="P44" si="65">O44+N44-L44-M44</f>
        <v>128.84399999999999</v>
      </c>
      <c r="Q44" s="142">
        <f t="shared" ref="Q44" si="66">K44*1.2</f>
        <v>0</v>
      </c>
      <c r="R44" s="142">
        <f t="shared" ref="R44" si="67">P44-ABS(Q44)</f>
        <v>128.84399999999999</v>
      </c>
      <c r="S44" s="484"/>
    </row>
    <row r="45" spans="1:19" ht="15.75" thickBot="1" x14ac:dyDescent="0.3">
      <c r="A45" s="504"/>
      <c r="B45" s="525"/>
      <c r="C45" s="317"/>
      <c r="D45" s="237"/>
      <c r="E45" s="280"/>
      <c r="F45" s="482"/>
      <c r="G45" s="333" t="s">
        <v>398</v>
      </c>
      <c r="H45" s="334"/>
      <c r="I45" s="232">
        <v>639.47</v>
      </c>
      <c r="J45" s="191"/>
      <c r="K45" s="192"/>
      <c r="L45" s="192"/>
      <c r="M45" s="192"/>
      <c r="N45" s="143">
        <f t="shared" ref="N45" si="68">(I45+K45)*1.2</f>
        <v>767.36400000000003</v>
      </c>
      <c r="O45" s="143">
        <f t="shared" ref="O45" si="69">(J45+K45)*1.2</f>
        <v>0</v>
      </c>
      <c r="P45" s="217">
        <f t="shared" ref="P45" si="70">O45+N45-L45-M45</f>
        <v>767.36400000000003</v>
      </c>
      <c r="Q45" s="143">
        <f t="shared" ref="Q45" si="71">K45*1.2</f>
        <v>0</v>
      </c>
      <c r="R45" s="143">
        <f t="shared" ref="R45" si="72">P45-ABS(Q45)</f>
        <v>767.36400000000003</v>
      </c>
      <c r="S45" s="484"/>
    </row>
    <row r="46" spans="1:19" ht="14.25" customHeight="1" x14ac:dyDescent="0.25">
      <c r="A46" s="504"/>
      <c r="B46" s="500" t="s">
        <v>245</v>
      </c>
      <c r="C46" s="505" t="s">
        <v>246</v>
      </c>
      <c r="D46" s="508"/>
      <c r="E46" s="511" t="s">
        <v>319</v>
      </c>
      <c r="F46" s="514">
        <f>2430*4+300</f>
        <v>10020</v>
      </c>
      <c r="G46" s="337" t="s">
        <v>249</v>
      </c>
      <c r="H46" s="338"/>
      <c r="I46" s="339">
        <v>2025</v>
      </c>
      <c r="J46" s="219"/>
      <c r="K46" s="218"/>
      <c r="L46" s="218"/>
      <c r="M46" s="218"/>
      <c r="N46" s="220">
        <f>(I46+K46)*1.2</f>
        <v>2430</v>
      </c>
      <c r="O46" s="220">
        <f t="shared" ref="O46" si="73">(J46+K46)*1.2</f>
        <v>0</v>
      </c>
      <c r="P46" s="221">
        <f>O46+N46-L46-M46</f>
        <v>2430</v>
      </c>
      <c r="Q46" s="220">
        <f t="shared" si="1"/>
        <v>0</v>
      </c>
      <c r="R46" s="220">
        <f>P46-ABS(Q46)</f>
        <v>2430</v>
      </c>
      <c r="S46" s="475">
        <f>+F46-SUM(R46:R55)</f>
        <v>300</v>
      </c>
    </row>
    <row r="47" spans="1:19" ht="14.25" customHeight="1" x14ac:dyDescent="0.25">
      <c r="A47" s="504"/>
      <c r="B47" s="501"/>
      <c r="C47" s="506"/>
      <c r="D47" s="509"/>
      <c r="E47" s="512"/>
      <c r="F47" s="515"/>
      <c r="G47" s="1" t="s">
        <v>247</v>
      </c>
      <c r="H47" s="259"/>
      <c r="I47" s="129">
        <v>810</v>
      </c>
      <c r="J47" s="133"/>
      <c r="K47" s="186"/>
      <c r="L47" s="186"/>
      <c r="M47" s="186"/>
      <c r="N47" s="142">
        <f>(I47+K47)*1.2</f>
        <v>972</v>
      </c>
      <c r="O47" s="142">
        <f t="shared" ref="O47:O52" si="74">(J47+K47)*1.2</f>
        <v>0</v>
      </c>
      <c r="P47" s="151">
        <f t="shared" ref="P47:P51" si="75">O47+N47-L47-M47</f>
        <v>972</v>
      </c>
      <c r="Q47" s="142">
        <f t="shared" si="1"/>
        <v>0</v>
      </c>
      <c r="R47" s="142">
        <f t="shared" ref="R47:R51" si="76">P47-ABS(Q47)</f>
        <v>972</v>
      </c>
      <c r="S47" s="476"/>
    </row>
    <row r="48" spans="1:19" ht="14.25" customHeight="1" x14ac:dyDescent="0.25">
      <c r="A48" s="504"/>
      <c r="B48" s="501"/>
      <c r="C48" s="506"/>
      <c r="D48" s="509"/>
      <c r="E48" s="512"/>
      <c r="F48" s="515"/>
      <c r="G48" s="1" t="s">
        <v>301</v>
      </c>
      <c r="H48" s="260"/>
      <c r="I48" s="129">
        <v>810</v>
      </c>
      <c r="J48" s="133"/>
      <c r="K48" s="186"/>
      <c r="L48" s="186"/>
      <c r="M48" s="186"/>
      <c r="N48" s="142">
        <f t="shared" ref="N48:N55" si="77">(I48+K48)*1.2</f>
        <v>972</v>
      </c>
      <c r="O48" s="142">
        <f t="shared" si="74"/>
        <v>0</v>
      </c>
      <c r="P48" s="151">
        <f t="shared" si="75"/>
        <v>972</v>
      </c>
      <c r="Q48" s="142">
        <f t="shared" si="1"/>
        <v>0</v>
      </c>
      <c r="R48" s="142">
        <f t="shared" si="76"/>
        <v>972</v>
      </c>
      <c r="S48" s="476"/>
    </row>
    <row r="49" spans="1:19" x14ac:dyDescent="0.25">
      <c r="A49" s="504"/>
      <c r="B49" s="501"/>
      <c r="C49" s="506"/>
      <c r="D49" s="509"/>
      <c r="E49" s="512"/>
      <c r="F49" s="515"/>
      <c r="G49" s="1" t="s">
        <v>312</v>
      </c>
      <c r="I49" s="133">
        <v>405</v>
      </c>
      <c r="J49" s="133"/>
      <c r="K49" s="186"/>
      <c r="L49" s="186"/>
      <c r="M49" s="186"/>
      <c r="N49" s="142">
        <f>(I49+K49)*1.2</f>
        <v>486</v>
      </c>
      <c r="O49" s="142">
        <f t="shared" si="74"/>
        <v>0</v>
      </c>
      <c r="P49" s="151">
        <f t="shared" si="75"/>
        <v>486</v>
      </c>
      <c r="Q49" s="142">
        <f t="shared" si="1"/>
        <v>0</v>
      </c>
      <c r="R49" s="142">
        <f t="shared" si="76"/>
        <v>486</v>
      </c>
      <c r="S49" s="476"/>
    </row>
    <row r="50" spans="1:19" ht="17.45" customHeight="1" x14ac:dyDescent="0.25">
      <c r="A50" s="504"/>
      <c r="B50" s="501"/>
      <c r="C50" s="506"/>
      <c r="D50" s="509"/>
      <c r="E50" s="512"/>
      <c r="F50" s="515"/>
      <c r="G50" s="1" t="s">
        <v>352</v>
      </c>
      <c r="H50" s="260"/>
      <c r="I50" s="133">
        <v>810</v>
      </c>
      <c r="J50" s="133"/>
      <c r="K50" s="186"/>
      <c r="L50" s="186"/>
      <c r="M50" s="186"/>
      <c r="N50" s="142">
        <f>(I50+K50)*1.2</f>
        <v>972</v>
      </c>
      <c r="O50" s="142">
        <f t="shared" si="74"/>
        <v>0</v>
      </c>
      <c r="P50" s="151">
        <f t="shared" si="75"/>
        <v>972</v>
      </c>
      <c r="Q50" s="142">
        <f t="shared" si="1"/>
        <v>0</v>
      </c>
      <c r="R50" s="142">
        <f t="shared" si="76"/>
        <v>972</v>
      </c>
      <c r="S50" s="476"/>
    </row>
    <row r="51" spans="1:19" x14ac:dyDescent="0.25">
      <c r="A51" s="504"/>
      <c r="B51" s="501"/>
      <c r="C51" s="506"/>
      <c r="D51" s="509"/>
      <c r="E51" s="512"/>
      <c r="F51" s="515"/>
      <c r="G51" s="1" t="s">
        <v>370</v>
      </c>
      <c r="H51" s="262"/>
      <c r="I51" s="190">
        <v>810</v>
      </c>
      <c r="J51" s="191"/>
      <c r="K51" s="192"/>
      <c r="L51" s="192"/>
      <c r="M51" s="192"/>
      <c r="N51" s="142">
        <f t="shared" si="77"/>
        <v>972</v>
      </c>
      <c r="O51" s="143">
        <f t="shared" si="74"/>
        <v>0</v>
      </c>
      <c r="P51" s="151">
        <f t="shared" si="75"/>
        <v>972</v>
      </c>
      <c r="Q51" s="142">
        <f t="shared" si="1"/>
        <v>0</v>
      </c>
      <c r="R51" s="142">
        <f t="shared" si="76"/>
        <v>972</v>
      </c>
      <c r="S51" s="476"/>
    </row>
    <row r="52" spans="1:19" ht="14.25" customHeight="1" x14ac:dyDescent="0.25">
      <c r="A52" s="504"/>
      <c r="B52" s="501"/>
      <c r="C52" s="506"/>
      <c r="D52" s="509"/>
      <c r="E52" s="512"/>
      <c r="F52" s="515"/>
      <c r="G52" s="1" t="s">
        <v>392</v>
      </c>
      <c r="H52" s="259"/>
      <c r="I52" s="129">
        <v>810</v>
      </c>
      <c r="J52" s="133"/>
      <c r="K52" s="186"/>
      <c r="L52" s="186"/>
      <c r="M52" s="186"/>
      <c r="N52" s="142">
        <f t="shared" si="77"/>
        <v>972</v>
      </c>
      <c r="O52" s="142">
        <f t="shared" si="74"/>
        <v>0</v>
      </c>
      <c r="P52" s="151">
        <f>O52+N52-L52-M52</f>
        <v>972</v>
      </c>
      <c r="Q52" s="142">
        <f t="shared" ref="Q52" si="78">K52*1.2</f>
        <v>0</v>
      </c>
      <c r="R52" s="142">
        <f>P52-ABS(Q52)</f>
        <v>972</v>
      </c>
      <c r="S52" s="476"/>
    </row>
    <row r="53" spans="1:19" ht="14.25" customHeight="1" x14ac:dyDescent="0.25">
      <c r="A53" s="504"/>
      <c r="B53" s="501"/>
      <c r="C53" s="506"/>
      <c r="D53" s="509"/>
      <c r="E53" s="512"/>
      <c r="F53" s="515"/>
      <c r="G53" t="s">
        <v>400</v>
      </c>
      <c r="H53" s="262"/>
      <c r="I53" s="129">
        <v>810</v>
      </c>
      <c r="J53" s="133"/>
      <c r="K53" s="186"/>
      <c r="L53" s="186"/>
      <c r="M53" s="186"/>
      <c r="N53" s="142">
        <f t="shared" si="77"/>
        <v>972</v>
      </c>
      <c r="O53" s="142">
        <f t="shared" ref="O53:O55" si="79">(J53+K53)*1.2</f>
        <v>0</v>
      </c>
      <c r="P53" s="151">
        <f>O53+N53-L53-M53</f>
        <v>972</v>
      </c>
      <c r="Q53" s="142">
        <f t="shared" ref="Q53:Q55" si="80">K53*1.2</f>
        <v>0</v>
      </c>
      <c r="R53" s="142">
        <f>P53-ABS(Q53)</f>
        <v>972</v>
      </c>
      <c r="S53" s="476"/>
    </row>
    <row r="54" spans="1:19" ht="14.25" customHeight="1" x14ac:dyDescent="0.25">
      <c r="A54" s="504"/>
      <c r="B54" s="501"/>
      <c r="C54" s="506"/>
      <c r="D54" s="509"/>
      <c r="E54" s="512"/>
      <c r="F54" s="515"/>
      <c r="G54" t="s">
        <v>410</v>
      </c>
      <c r="H54" s="262"/>
      <c r="I54" s="129">
        <v>405</v>
      </c>
      <c r="J54" s="133"/>
      <c r="K54" s="186"/>
      <c r="L54" s="186"/>
      <c r="M54" s="186"/>
      <c r="N54" s="142">
        <f t="shared" si="77"/>
        <v>486</v>
      </c>
      <c r="O54" s="142">
        <f t="shared" ref="O54" si="81">(J54+K54)*1.2</f>
        <v>0</v>
      </c>
      <c r="P54" s="151">
        <f>O54+N54-L54-M54</f>
        <v>486</v>
      </c>
      <c r="Q54" s="142">
        <f t="shared" ref="Q54" si="82">K54*1.2</f>
        <v>0</v>
      </c>
      <c r="R54" s="142">
        <f>P54-ABS(Q54)</f>
        <v>486</v>
      </c>
      <c r="S54" s="476"/>
    </row>
    <row r="55" spans="1:19" ht="24.6" customHeight="1" thickBot="1" x14ac:dyDescent="0.3">
      <c r="A55" s="504"/>
      <c r="B55" s="502"/>
      <c r="C55" s="507"/>
      <c r="D55" s="510"/>
      <c r="E55" s="513"/>
      <c r="F55" s="516"/>
      <c r="G55" s="231" t="s">
        <v>411</v>
      </c>
      <c r="H55" s="340"/>
      <c r="I55" s="341">
        <v>405</v>
      </c>
      <c r="J55" s="210"/>
      <c r="K55" s="209"/>
      <c r="L55" s="209"/>
      <c r="M55" s="209"/>
      <c r="N55" s="211">
        <f t="shared" si="77"/>
        <v>486</v>
      </c>
      <c r="O55" s="211">
        <f t="shared" si="79"/>
        <v>0</v>
      </c>
      <c r="P55" s="212">
        <f>O55+N55-L55-M55</f>
        <v>486</v>
      </c>
      <c r="Q55" s="211">
        <f t="shared" si="80"/>
        <v>0</v>
      </c>
      <c r="R55" s="211">
        <f>P55-ABS(Q55)</f>
        <v>486</v>
      </c>
      <c r="S55" s="477"/>
    </row>
    <row r="56" spans="1:19" ht="15" customHeight="1" x14ac:dyDescent="0.25">
      <c r="A56" s="504"/>
      <c r="B56" s="500" t="s">
        <v>94</v>
      </c>
      <c r="C56" s="505" t="s">
        <v>248</v>
      </c>
      <c r="D56" s="548"/>
      <c r="E56" s="548" t="s">
        <v>320</v>
      </c>
      <c r="F56" s="551">
        <v>7920</v>
      </c>
      <c r="G56" s="344" t="s">
        <v>315</v>
      </c>
      <c r="H56" s="345"/>
      <c r="I56" s="346">
        <v>430</v>
      </c>
      <c r="J56" s="219"/>
      <c r="K56" s="218"/>
      <c r="L56" s="218"/>
      <c r="M56" s="218"/>
      <c r="N56" s="220">
        <f t="shared" ref="N56" si="83">(I56+J56)*1.2</f>
        <v>516</v>
      </c>
      <c r="O56" s="220">
        <f t="shared" ref="O56" si="84">(J56+K56)*1.2</f>
        <v>0</v>
      </c>
      <c r="P56" s="221">
        <f t="shared" ref="P56:P61" si="85">O56+N56-L56-M56</f>
        <v>516</v>
      </c>
      <c r="Q56" s="220">
        <f t="shared" si="1"/>
        <v>0</v>
      </c>
      <c r="R56" s="220">
        <f t="shared" ref="R56:R61" si="86">P56-ABS(Q56)</f>
        <v>516</v>
      </c>
      <c r="S56" s="554">
        <f>F56-SUM(R56:R65)</f>
        <v>0</v>
      </c>
    </row>
    <row r="57" spans="1:19" x14ac:dyDescent="0.25">
      <c r="A57" s="504"/>
      <c r="B57" s="501"/>
      <c r="C57" s="506"/>
      <c r="D57" s="549"/>
      <c r="E57" s="549"/>
      <c r="F57" s="552"/>
      <c r="G57" s="222" t="s">
        <v>316</v>
      </c>
      <c r="H57" s="263"/>
      <c r="I57" s="223">
        <v>430</v>
      </c>
      <c r="J57" s="133"/>
      <c r="K57" s="186"/>
      <c r="L57" s="186"/>
      <c r="M57" s="186"/>
      <c r="N57" s="142">
        <f t="shared" ref="N57:N59" si="87">(I57+J57)*1.2</f>
        <v>516</v>
      </c>
      <c r="O57" s="142">
        <f t="shared" ref="O57:O59" si="88">(J57+K57)*1.2</f>
        <v>0</v>
      </c>
      <c r="P57" s="151">
        <f t="shared" si="85"/>
        <v>516</v>
      </c>
      <c r="Q57" s="142">
        <f t="shared" ref="Q57:Q59" si="89">K57*1.2</f>
        <v>0</v>
      </c>
      <c r="R57" s="142">
        <f t="shared" si="86"/>
        <v>516</v>
      </c>
      <c r="S57" s="555"/>
    </row>
    <row r="58" spans="1:19" x14ac:dyDescent="0.25">
      <c r="A58" s="504"/>
      <c r="B58" s="501"/>
      <c r="C58" s="506"/>
      <c r="D58" s="549"/>
      <c r="E58" s="549"/>
      <c r="F58" s="552"/>
      <c r="G58" s="1" t="s">
        <v>317</v>
      </c>
      <c r="H58" s="260"/>
      <c r="I58" s="129">
        <v>430</v>
      </c>
      <c r="J58" s="133"/>
      <c r="K58" s="186"/>
      <c r="L58" s="186"/>
      <c r="M58" s="186"/>
      <c r="N58" s="142">
        <f t="shared" si="87"/>
        <v>516</v>
      </c>
      <c r="O58" s="142">
        <f t="shared" si="88"/>
        <v>0</v>
      </c>
      <c r="P58" s="151">
        <f t="shared" si="85"/>
        <v>516</v>
      </c>
      <c r="Q58" s="142">
        <f t="shared" si="89"/>
        <v>0</v>
      </c>
      <c r="R58" s="142">
        <f t="shared" si="86"/>
        <v>516</v>
      </c>
      <c r="S58" s="555"/>
    </row>
    <row r="59" spans="1:19" x14ac:dyDescent="0.25">
      <c r="A59" s="504"/>
      <c r="B59" s="501"/>
      <c r="C59" s="506"/>
      <c r="D59" s="549"/>
      <c r="E59" s="549"/>
      <c r="F59" s="552"/>
      <c r="G59" s="1" t="s">
        <v>314</v>
      </c>
      <c r="H59" s="260"/>
      <c r="I59" s="129">
        <f>1420+250</f>
        <v>1670</v>
      </c>
      <c r="J59" s="133"/>
      <c r="K59" s="186"/>
      <c r="L59" s="186"/>
      <c r="M59" s="186"/>
      <c r="N59" s="142">
        <f t="shared" si="87"/>
        <v>2004</v>
      </c>
      <c r="O59" s="142">
        <f t="shared" si="88"/>
        <v>0</v>
      </c>
      <c r="P59" s="151">
        <f t="shared" si="85"/>
        <v>2004</v>
      </c>
      <c r="Q59" s="142">
        <f t="shared" si="89"/>
        <v>0</v>
      </c>
      <c r="R59" s="142">
        <f t="shared" si="86"/>
        <v>2004</v>
      </c>
      <c r="S59" s="555"/>
    </row>
    <row r="60" spans="1:19" x14ac:dyDescent="0.25">
      <c r="A60" s="504"/>
      <c r="B60" s="501"/>
      <c r="C60" s="506"/>
      <c r="D60" s="549"/>
      <c r="E60" s="549"/>
      <c r="F60" s="552"/>
      <c r="G60" s="1" t="s">
        <v>318</v>
      </c>
      <c r="H60" s="260"/>
      <c r="I60" s="129">
        <v>100</v>
      </c>
      <c r="J60" s="133"/>
      <c r="K60" s="186"/>
      <c r="L60" s="186"/>
      <c r="M60" s="186"/>
      <c r="N60" s="142">
        <f t="shared" ref="N60" si="90">(I60+J60)*1.2</f>
        <v>120</v>
      </c>
      <c r="O60" s="142">
        <f t="shared" ref="O60" si="91">(J60+K60)*1.2</f>
        <v>0</v>
      </c>
      <c r="P60" s="151">
        <f t="shared" si="85"/>
        <v>120</v>
      </c>
      <c r="Q60" s="142">
        <f t="shared" ref="Q60" si="92">K60*1.2</f>
        <v>0</v>
      </c>
      <c r="R60" s="142">
        <f t="shared" si="86"/>
        <v>120</v>
      </c>
      <c r="S60" s="555"/>
    </row>
    <row r="61" spans="1:19" x14ac:dyDescent="0.25">
      <c r="A61" s="504"/>
      <c r="B61" s="501"/>
      <c r="C61" s="506"/>
      <c r="D61" s="549"/>
      <c r="E61" s="549"/>
      <c r="F61" s="552"/>
      <c r="G61" s="1" t="s">
        <v>345</v>
      </c>
      <c r="H61" s="260"/>
      <c r="I61" s="129">
        <v>250</v>
      </c>
      <c r="J61" s="133"/>
      <c r="K61" s="186"/>
      <c r="L61" s="186"/>
      <c r="M61" s="186"/>
      <c r="N61" s="142">
        <f t="shared" ref="N61" si="93">(I61+J61)*1.2</f>
        <v>300</v>
      </c>
      <c r="O61" s="142">
        <f t="shared" ref="O61" si="94">(J61+K61)*1.2</f>
        <v>0</v>
      </c>
      <c r="P61" s="151">
        <f t="shared" si="85"/>
        <v>300</v>
      </c>
      <c r="Q61" s="142">
        <f t="shared" ref="Q61" si="95">K61*1.2</f>
        <v>0</v>
      </c>
      <c r="R61" s="142">
        <f t="shared" si="86"/>
        <v>300</v>
      </c>
      <c r="S61" s="555"/>
    </row>
    <row r="62" spans="1:19" x14ac:dyDescent="0.25">
      <c r="A62" s="504"/>
      <c r="B62" s="501"/>
      <c r="C62" s="506"/>
      <c r="D62" s="549"/>
      <c r="E62" s="549"/>
      <c r="F62" s="552"/>
      <c r="G62" s="1" t="s">
        <v>356</v>
      </c>
      <c r="H62" s="260"/>
      <c r="I62" s="129">
        <v>250</v>
      </c>
      <c r="J62" s="133"/>
      <c r="K62" s="186"/>
      <c r="L62" s="186"/>
      <c r="M62" s="186"/>
      <c r="N62" s="142">
        <f t="shared" ref="N62" si="96">(I62+J62)*1.2</f>
        <v>300</v>
      </c>
      <c r="O62" s="142">
        <f t="shared" ref="O62" si="97">(J62+K62)*1.2</f>
        <v>0</v>
      </c>
      <c r="P62" s="151">
        <f t="shared" ref="P62" si="98">O62+N62-L62-M62</f>
        <v>300</v>
      </c>
      <c r="Q62" s="142">
        <f t="shared" ref="Q62" si="99">K62*1.2</f>
        <v>0</v>
      </c>
      <c r="R62" s="142">
        <f t="shared" ref="R62" si="100">P62-ABS(Q62)</f>
        <v>300</v>
      </c>
      <c r="S62" s="555"/>
    </row>
    <row r="63" spans="1:19" x14ac:dyDescent="0.25">
      <c r="A63" s="504"/>
      <c r="B63" s="501"/>
      <c r="C63" s="506"/>
      <c r="D63" s="549"/>
      <c r="E63" s="549"/>
      <c r="F63" s="552"/>
      <c r="G63" s="1" t="s">
        <v>393</v>
      </c>
      <c r="H63" s="260"/>
      <c r="I63" s="129">
        <v>1520</v>
      </c>
      <c r="J63" s="133"/>
      <c r="K63" s="186"/>
      <c r="L63" s="186"/>
      <c r="M63" s="186"/>
      <c r="N63" s="142">
        <f t="shared" ref="N63:N65" si="101">(I63+J63)*1.2</f>
        <v>1824</v>
      </c>
      <c r="O63" s="142">
        <f t="shared" ref="O63" si="102">(J63+K63)*1.2</f>
        <v>0</v>
      </c>
      <c r="P63" s="151">
        <f t="shared" ref="P63" si="103">O63+N63-L63-M63</f>
        <v>1824</v>
      </c>
      <c r="Q63" s="142">
        <f t="shared" ref="Q63" si="104">K63*1.2</f>
        <v>0</v>
      </c>
      <c r="R63" s="142">
        <f t="shared" ref="R63" si="105">P63-ABS(Q63)</f>
        <v>1824</v>
      </c>
      <c r="S63" s="555"/>
    </row>
    <row r="64" spans="1:19" x14ac:dyDescent="0.25">
      <c r="A64" s="504"/>
      <c r="B64" s="501"/>
      <c r="C64" s="506"/>
      <c r="D64" s="549"/>
      <c r="E64" s="549"/>
      <c r="F64" s="552"/>
      <c r="G64" s="1" t="s">
        <v>408</v>
      </c>
      <c r="H64" s="260"/>
      <c r="I64" s="129">
        <v>1420</v>
      </c>
      <c r="J64" s="133"/>
      <c r="K64" s="186"/>
      <c r="L64" s="186"/>
      <c r="M64" s="186"/>
      <c r="N64" s="142">
        <f t="shared" si="101"/>
        <v>1704</v>
      </c>
      <c r="O64" s="142"/>
      <c r="P64" s="151">
        <f t="shared" ref="P64:P65" si="106">O64+N64-L64-M64</f>
        <v>1704</v>
      </c>
      <c r="Q64" s="142"/>
      <c r="R64" s="142">
        <f t="shared" ref="R64:R65" si="107">P64-ABS(Q64)</f>
        <v>1704</v>
      </c>
      <c r="S64" s="555"/>
    </row>
    <row r="65" spans="1:19" ht="15.75" thickBot="1" x14ac:dyDescent="0.3">
      <c r="A65" s="504"/>
      <c r="B65" s="502"/>
      <c r="C65" s="507"/>
      <c r="D65" s="550"/>
      <c r="E65" s="550"/>
      <c r="F65" s="553"/>
      <c r="G65" s="231" t="s">
        <v>409</v>
      </c>
      <c r="H65" s="347"/>
      <c r="I65" s="341">
        <v>100</v>
      </c>
      <c r="J65" s="210"/>
      <c r="K65" s="209"/>
      <c r="L65" s="209"/>
      <c r="M65" s="209"/>
      <c r="N65" s="211">
        <f t="shared" si="101"/>
        <v>120</v>
      </c>
      <c r="O65" s="211"/>
      <c r="P65" s="212">
        <f t="shared" si="106"/>
        <v>120</v>
      </c>
      <c r="Q65" s="211"/>
      <c r="R65" s="211">
        <f t="shared" si="107"/>
        <v>120</v>
      </c>
      <c r="S65" s="556"/>
    </row>
    <row r="66" spans="1:19" ht="15.75" customHeight="1" x14ac:dyDescent="0.25">
      <c r="A66" s="504"/>
      <c r="B66" s="224"/>
      <c r="C66" s="225"/>
      <c r="D66" s="225"/>
      <c r="E66" s="281"/>
      <c r="F66" s="335"/>
      <c r="G66" s="342"/>
      <c r="H66" s="336"/>
      <c r="I66" s="226"/>
      <c r="J66" s="226"/>
      <c r="K66" s="224"/>
      <c r="L66" s="224"/>
      <c r="M66" s="224"/>
      <c r="N66" s="227"/>
      <c r="O66" s="227"/>
      <c r="P66" s="228"/>
      <c r="Q66" s="227"/>
      <c r="R66" s="343">
        <f>SUM(R56:R65)</f>
        <v>7920</v>
      </c>
      <c r="S66" s="229"/>
    </row>
    <row r="67" spans="1:19" x14ac:dyDescent="0.25">
      <c r="A67" s="504"/>
      <c r="B67" s="517" t="s">
        <v>251</v>
      </c>
      <c r="C67" s="519" t="s">
        <v>250</v>
      </c>
      <c r="D67" s="199"/>
      <c r="E67" s="282" t="s">
        <v>252</v>
      </c>
      <c r="F67" s="275">
        <v>2916</v>
      </c>
      <c r="G67" s="189" t="s">
        <v>253</v>
      </c>
      <c r="H67" s="264"/>
      <c r="I67" s="129">
        <v>2430</v>
      </c>
      <c r="J67" s="133"/>
      <c r="K67" s="186"/>
      <c r="L67" s="186"/>
      <c r="M67" s="186"/>
      <c r="N67" s="142">
        <f t="shared" ref="N67:N68" si="108">(I67+J67)*1.2</f>
        <v>2916</v>
      </c>
      <c r="O67" s="142">
        <f t="shared" ref="O67:O68" si="109">(J67+K67)*1.2</f>
        <v>0</v>
      </c>
      <c r="P67" s="151">
        <f t="shared" ref="P67:P68" si="110">O67+N67-L67-M67</f>
        <v>2916</v>
      </c>
      <c r="Q67" s="142">
        <f t="shared" ref="Q67:Q68" si="111">K67*1.2</f>
        <v>0</v>
      </c>
      <c r="R67" s="142">
        <f t="shared" ref="R67:R68" si="112">P67-ABS(Q67)</f>
        <v>2916</v>
      </c>
      <c r="S67" s="194">
        <f>F67-R67</f>
        <v>0</v>
      </c>
    </row>
    <row r="68" spans="1:19" x14ac:dyDescent="0.25">
      <c r="A68" s="504"/>
      <c r="B68" s="518"/>
      <c r="C68" s="520"/>
      <c r="D68" s="199"/>
      <c r="E68" s="282" t="s">
        <v>254</v>
      </c>
      <c r="F68" s="275">
        <v>1426.8</v>
      </c>
      <c r="G68" s="189">
        <v>17124567</v>
      </c>
      <c r="H68" s="264"/>
      <c r="I68" s="129">
        <v>1189</v>
      </c>
      <c r="J68" s="133"/>
      <c r="K68" s="186"/>
      <c r="L68" s="186"/>
      <c r="M68" s="186"/>
      <c r="N68" s="142">
        <f t="shared" si="108"/>
        <v>1426.8</v>
      </c>
      <c r="O68" s="142">
        <f t="shared" si="109"/>
        <v>0</v>
      </c>
      <c r="P68" s="151">
        <f t="shared" si="110"/>
        <v>1426.8</v>
      </c>
      <c r="Q68" s="142">
        <f t="shared" si="111"/>
        <v>0</v>
      </c>
      <c r="R68" s="142">
        <f t="shared" si="112"/>
        <v>1426.8</v>
      </c>
      <c r="S68" s="194">
        <f>F68-R68</f>
        <v>0</v>
      </c>
    </row>
    <row r="69" spans="1:19" ht="15.75" customHeight="1" thickBot="1" x14ac:dyDescent="0.3">
      <c r="A69" s="504"/>
      <c r="B69" s="187"/>
      <c r="C69" s="188"/>
      <c r="D69" s="188"/>
      <c r="E69" s="293"/>
      <c r="F69" s="294"/>
      <c r="G69" s="295"/>
      <c r="H69" s="296"/>
      <c r="I69" s="297"/>
      <c r="J69" s="297"/>
      <c r="K69" s="295"/>
      <c r="L69" s="295"/>
      <c r="M69" s="295"/>
      <c r="N69" s="298"/>
      <c r="O69" s="298"/>
      <c r="P69" s="45"/>
      <c r="Q69" s="298"/>
      <c r="R69" s="298"/>
      <c r="S69" s="299"/>
    </row>
    <row r="70" spans="1:19" ht="15" customHeight="1" x14ac:dyDescent="0.25">
      <c r="A70" s="486" t="s">
        <v>6</v>
      </c>
      <c r="B70" s="496" t="s">
        <v>279</v>
      </c>
      <c r="C70" s="489" t="s">
        <v>278</v>
      </c>
      <c r="D70" s="238" t="s">
        <v>299</v>
      </c>
      <c r="E70" s="469" t="s">
        <v>294</v>
      </c>
      <c r="F70" s="472">
        <v>42654.35</v>
      </c>
      <c r="G70" s="499" t="s">
        <v>307</v>
      </c>
      <c r="H70" s="257"/>
      <c r="I70" s="219">
        <v>10405.93</v>
      </c>
      <c r="J70" s="219"/>
      <c r="K70" s="218"/>
      <c r="L70" s="218"/>
      <c r="M70" s="218"/>
      <c r="N70" s="300">
        <f>(I70+K70)*1.2+(J71)*0.2</f>
        <v>14310.716</v>
      </c>
      <c r="O70" s="220">
        <f t="shared" ref="O70:O91" si="113">(J70+K70)*1.2</f>
        <v>0</v>
      </c>
      <c r="P70" s="221">
        <f>O70+N70-L70-M70</f>
        <v>14310.716</v>
      </c>
      <c r="Q70" s="220">
        <f t="shared" ref="Q70:Q91" si="114">K70*1.2</f>
        <v>0</v>
      </c>
      <c r="R70" s="220">
        <f>P70-ABS(Q70)</f>
        <v>14310.716</v>
      </c>
      <c r="S70" s="466">
        <f>F70-SUM(R70:R74)</f>
        <v>1.4000000002852175E-2</v>
      </c>
    </row>
    <row r="71" spans="1:19" ht="25.5" x14ac:dyDescent="0.25">
      <c r="A71" s="487"/>
      <c r="B71" s="497"/>
      <c r="C71" s="490"/>
      <c r="D71" s="292" t="s">
        <v>300</v>
      </c>
      <c r="E71" s="470"/>
      <c r="F71" s="473"/>
      <c r="G71" s="557"/>
      <c r="H71" s="255"/>
      <c r="I71" s="133"/>
      <c r="J71" s="216">
        <v>9118</v>
      </c>
      <c r="K71" s="186"/>
      <c r="L71" s="186"/>
      <c r="M71" s="186"/>
      <c r="N71" s="214">
        <f t="shared" ref="N71:N90" si="115">(I71+K71)*1.2</f>
        <v>0</v>
      </c>
      <c r="O71" s="214">
        <f>(J71+K71)</f>
        <v>9118</v>
      </c>
      <c r="P71" s="215">
        <f t="shared" ref="P71:P90" si="116">O71+N71-L71-M71</f>
        <v>9118</v>
      </c>
      <c r="Q71" s="142">
        <f t="shared" si="114"/>
        <v>0</v>
      </c>
      <c r="R71" s="142">
        <f t="shared" ref="R71:R90" si="117">P71-ABS(Q71)</f>
        <v>9118</v>
      </c>
      <c r="S71" s="467"/>
    </row>
    <row r="72" spans="1:19" ht="28.5" x14ac:dyDescent="0.25">
      <c r="A72" s="487"/>
      <c r="B72" s="497"/>
      <c r="C72" s="490"/>
      <c r="D72" s="239"/>
      <c r="E72" s="470"/>
      <c r="F72" s="473"/>
      <c r="G72" s="186" t="s">
        <v>308</v>
      </c>
      <c r="H72" s="255"/>
      <c r="I72" s="133">
        <v>10258.549999999999</v>
      </c>
      <c r="J72" s="133"/>
      <c r="K72" s="186"/>
      <c r="L72" s="186"/>
      <c r="M72" s="186"/>
      <c r="N72" s="142">
        <f t="shared" si="115"/>
        <v>12310.259999999998</v>
      </c>
      <c r="O72" s="142">
        <f t="shared" si="113"/>
        <v>0</v>
      </c>
      <c r="P72" s="151">
        <f t="shared" si="116"/>
        <v>12310.259999999998</v>
      </c>
      <c r="Q72" s="142">
        <f t="shared" si="114"/>
        <v>0</v>
      </c>
      <c r="R72" s="142">
        <f t="shared" si="117"/>
        <v>12310.259999999998</v>
      </c>
      <c r="S72" s="467"/>
    </row>
    <row r="73" spans="1:19" ht="28.5" x14ac:dyDescent="0.25">
      <c r="A73" s="487"/>
      <c r="B73" s="497"/>
      <c r="C73" s="490"/>
      <c r="D73" s="239"/>
      <c r="E73" s="470"/>
      <c r="F73" s="473"/>
      <c r="G73" s="186" t="s">
        <v>309</v>
      </c>
      <c r="H73" s="255"/>
      <c r="I73" s="133">
        <v>2016.08</v>
      </c>
      <c r="J73" s="133"/>
      <c r="K73" s="186"/>
      <c r="L73" s="186"/>
      <c r="M73" s="186"/>
      <c r="N73" s="142">
        <f t="shared" si="115"/>
        <v>2419.2959999999998</v>
      </c>
      <c r="O73" s="142">
        <f t="shared" si="113"/>
        <v>0</v>
      </c>
      <c r="P73" s="151">
        <f t="shared" si="116"/>
        <v>2419.2959999999998</v>
      </c>
      <c r="Q73" s="142">
        <f t="shared" si="114"/>
        <v>0</v>
      </c>
      <c r="R73" s="142">
        <f t="shared" si="117"/>
        <v>2419.2959999999998</v>
      </c>
      <c r="S73" s="467"/>
    </row>
    <row r="74" spans="1:19" ht="29.25" thickBot="1" x14ac:dyDescent="0.3">
      <c r="A74" s="487"/>
      <c r="B74" s="497"/>
      <c r="C74" s="490"/>
      <c r="D74" s="239"/>
      <c r="E74" s="471"/>
      <c r="F74" s="474"/>
      <c r="G74" s="209" t="s">
        <v>341</v>
      </c>
      <c r="H74" s="258"/>
      <c r="I74" s="210">
        <v>3746.72</v>
      </c>
      <c r="J74" s="210"/>
      <c r="K74" s="209"/>
      <c r="L74" s="209"/>
      <c r="M74" s="209"/>
      <c r="N74" s="211">
        <f t="shared" si="115"/>
        <v>4496.0639999999994</v>
      </c>
      <c r="O74" s="211">
        <f t="shared" si="113"/>
        <v>0</v>
      </c>
      <c r="P74" s="212">
        <f t="shared" si="116"/>
        <v>4496.0639999999994</v>
      </c>
      <c r="Q74" s="211">
        <f t="shared" si="114"/>
        <v>0</v>
      </c>
      <c r="R74" s="211">
        <f t="shared" si="117"/>
        <v>4496.0639999999994</v>
      </c>
      <c r="S74" s="468"/>
    </row>
    <row r="75" spans="1:19" ht="28.5" x14ac:dyDescent="0.25">
      <c r="A75" s="487"/>
      <c r="B75" s="497"/>
      <c r="C75" s="490"/>
      <c r="D75" s="292" t="s">
        <v>359</v>
      </c>
      <c r="E75" s="469" t="s">
        <v>386</v>
      </c>
      <c r="F75" s="290">
        <v>41070.5</v>
      </c>
      <c r="G75" s="218" t="s">
        <v>357</v>
      </c>
      <c r="H75" s="301"/>
      <c r="I75" s="302">
        <v>22181.43</v>
      </c>
      <c r="J75" s="303">
        <v>4200</v>
      </c>
      <c r="K75" s="273"/>
      <c r="L75" s="273"/>
      <c r="M75" s="273"/>
      <c r="N75" s="220">
        <f t="shared" ref="N75:N84" si="118">(I75+K75)*1.2</f>
        <v>26617.716</v>
      </c>
      <c r="O75" s="220">
        <f t="shared" ref="O75:O84" si="119">(J75+K75)*1.2</f>
        <v>5040</v>
      </c>
      <c r="P75" s="221">
        <f t="shared" ref="P75:P84" si="120">O75+N75-L75-M75</f>
        <v>31657.716</v>
      </c>
      <c r="Q75" s="220">
        <f t="shared" ref="Q75:Q84" si="121">K75*1.2</f>
        <v>0</v>
      </c>
      <c r="R75" s="220">
        <f t="shared" ref="R75:R84" si="122">P75-ABS(Q75)</f>
        <v>31657.716</v>
      </c>
      <c r="S75" s="466">
        <f>F75-SUM(R75:R80)</f>
        <v>652.48400000000402</v>
      </c>
    </row>
    <row r="76" spans="1:19" x14ac:dyDescent="0.25">
      <c r="A76" s="487"/>
      <c r="B76" s="497"/>
      <c r="C76" s="490"/>
      <c r="D76" s="292" t="s">
        <v>361</v>
      </c>
      <c r="E76" s="470"/>
      <c r="F76" s="288"/>
      <c r="G76" s="271"/>
      <c r="H76" s="255"/>
      <c r="I76" s="191"/>
      <c r="J76" s="216">
        <v>2508</v>
      </c>
      <c r="K76" s="192"/>
      <c r="L76" s="192"/>
      <c r="M76" s="192"/>
      <c r="N76" s="142">
        <f t="shared" si="118"/>
        <v>0</v>
      </c>
      <c r="O76" s="142">
        <f t="shared" si="119"/>
        <v>3009.6</v>
      </c>
      <c r="P76" s="151">
        <f t="shared" si="120"/>
        <v>3009.6</v>
      </c>
      <c r="Q76" s="142">
        <f t="shared" si="121"/>
        <v>0</v>
      </c>
      <c r="R76" s="142">
        <f t="shared" si="122"/>
        <v>3009.6</v>
      </c>
      <c r="S76" s="467"/>
    </row>
    <row r="77" spans="1:19" x14ac:dyDescent="0.25">
      <c r="A77" s="487"/>
      <c r="B77" s="497"/>
      <c r="C77" s="490"/>
      <c r="D77" s="292" t="s">
        <v>385</v>
      </c>
      <c r="E77" s="470"/>
      <c r="F77" s="288"/>
      <c r="G77" s="567" t="s">
        <v>387</v>
      </c>
      <c r="H77" s="255"/>
      <c r="I77" s="133"/>
      <c r="J77" s="216">
        <v>1000</v>
      </c>
      <c r="K77" s="192"/>
      <c r="L77" s="192"/>
      <c r="M77" s="192"/>
      <c r="N77" s="142">
        <f t="shared" ref="N77:N78" si="123">(I77+K77)*1.2</f>
        <v>0</v>
      </c>
      <c r="O77" s="142">
        <f t="shared" ref="O77:O78" si="124">(J77+K77)*1.2</f>
        <v>1200</v>
      </c>
      <c r="P77" s="151">
        <f t="shared" ref="P77:P78" si="125">O77+N77-L77-M77</f>
        <v>1200</v>
      </c>
      <c r="Q77" s="142">
        <f t="shared" ref="Q77:Q78" si="126">K77*1.2</f>
        <v>0</v>
      </c>
      <c r="R77" s="142">
        <f t="shared" ref="R77:R78" si="127">P77-ABS(Q77)</f>
        <v>1200</v>
      </c>
      <c r="S77" s="467"/>
    </row>
    <row r="78" spans="1:19" x14ac:dyDescent="0.25">
      <c r="A78" s="487"/>
      <c r="B78" s="497"/>
      <c r="C78" s="490"/>
      <c r="D78" s="292"/>
      <c r="E78" s="470"/>
      <c r="F78" s="288"/>
      <c r="G78" s="567"/>
      <c r="H78" s="255"/>
      <c r="I78" s="272">
        <v>1674.85</v>
      </c>
      <c r="J78" s="216"/>
      <c r="K78" s="192"/>
      <c r="L78" s="192"/>
      <c r="M78" s="192"/>
      <c r="N78" s="142">
        <f t="shared" si="123"/>
        <v>2009.8199999999997</v>
      </c>
      <c r="O78" s="142">
        <f t="shared" si="124"/>
        <v>0</v>
      </c>
      <c r="P78" s="151">
        <f t="shared" si="125"/>
        <v>2009.8199999999997</v>
      </c>
      <c r="Q78" s="142">
        <f t="shared" si="126"/>
        <v>0</v>
      </c>
      <c r="R78" s="142">
        <f t="shared" si="127"/>
        <v>2009.8199999999997</v>
      </c>
      <c r="S78" s="467"/>
    </row>
    <row r="79" spans="1:19" x14ac:dyDescent="0.25">
      <c r="A79" s="487"/>
      <c r="B79" s="497"/>
      <c r="C79" s="490"/>
      <c r="D79" s="292"/>
      <c r="E79" s="470"/>
      <c r="F79" s="288"/>
      <c r="G79" s="270" t="s">
        <v>365</v>
      </c>
      <c r="H79" s="255"/>
      <c r="I79" s="191"/>
      <c r="J79" s="216"/>
      <c r="K79" s="192"/>
      <c r="L79" s="192"/>
      <c r="M79" s="192"/>
      <c r="N79" s="142">
        <f t="shared" si="118"/>
        <v>0</v>
      </c>
      <c r="O79" s="142">
        <f t="shared" ref="O79:O80" si="128">(J79+K79)*1.2</f>
        <v>0</v>
      </c>
      <c r="P79" s="151">
        <f t="shared" ref="P79:P80" si="129">O79+N79-L79-M79</f>
        <v>0</v>
      </c>
      <c r="Q79" s="142">
        <f t="shared" ref="Q79:Q80" si="130">K79*1.2</f>
        <v>0</v>
      </c>
      <c r="R79" s="142">
        <f t="shared" ref="R79:R80" si="131">P79-ABS(Q79)</f>
        <v>0</v>
      </c>
      <c r="S79" s="467"/>
    </row>
    <row r="80" spans="1:19" ht="15.75" thickBot="1" x14ac:dyDescent="0.3">
      <c r="A80" s="487"/>
      <c r="B80" s="497"/>
      <c r="C80" s="490"/>
      <c r="D80" s="292"/>
      <c r="E80" s="471"/>
      <c r="F80" s="289"/>
      <c r="G80" s="304" t="s">
        <v>383</v>
      </c>
      <c r="H80" s="258"/>
      <c r="I80" s="305">
        <v>2117.4</v>
      </c>
      <c r="J80" s="306"/>
      <c r="K80" s="209"/>
      <c r="L80" s="209"/>
      <c r="M80" s="209"/>
      <c r="N80" s="211">
        <f t="shared" si="118"/>
        <v>2540.88</v>
      </c>
      <c r="O80" s="211">
        <f t="shared" si="128"/>
        <v>0</v>
      </c>
      <c r="P80" s="212">
        <f t="shared" si="129"/>
        <v>2540.88</v>
      </c>
      <c r="Q80" s="211">
        <f t="shared" si="130"/>
        <v>0</v>
      </c>
      <c r="R80" s="211">
        <f t="shared" si="131"/>
        <v>2540.88</v>
      </c>
      <c r="S80" s="468"/>
    </row>
    <row r="81" spans="1:19" ht="28.5" x14ac:dyDescent="0.25">
      <c r="A81" s="487"/>
      <c r="B81" s="497"/>
      <c r="C81" s="490"/>
      <c r="D81" s="292" t="s">
        <v>360</v>
      </c>
      <c r="E81" s="469" t="s">
        <v>358</v>
      </c>
      <c r="F81" s="563">
        <v>31719.26</v>
      </c>
      <c r="G81" s="273" t="s">
        <v>362</v>
      </c>
      <c r="H81" s="307"/>
      <c r="I81" s="302"/>
      <c r="J81" s="308">
        <v>3482</v>
      </c>
      <c r="K81" s="273"/>
      <c r="L81" s="273"/>
      <c r="M81" s="273"/>
      <c r="N81" s="309">
        <f t="shared" si="118"/>
        <v>0</v>
      </c>
      <c r="O81" s="309">
        <f t="shared" si="119"/>
        <v>4178.3999999999996</v>
      </c>
      <c r="P81" s="310">
        <f t="shared" si="120"/>
        <v>4178.3999999999996</v>
      </c>
      <c r="Q81" s="309">
        <f t="shared" si="121"/>
        <v>0</v>
      </c>
      <c r="R81" s="309">
        <f t="shared" si="122"/>
        <v>4178.3999999999996</v>
      </c>
      <c r="S81" s="466">
        <f>F81-SUM(R81:R84)</f>
        <v>756.35600000000341</v>
      </c>
    </row>
    <row r="82" spans="1:19" x14ac:dyDescent="0.25">
      <c r="A82" s="487"/>
      <c r="B82" s="497"/>
      <c r="C82" s="490"/>
      <c r="D82" s="239"/>
      <c r="E82" s="470"/>
      <c r="F82" s="564"/>
      <c r="G82" s="198" t="s">
        <v>365</v>
      </c>
      <c r="H82" s="348"/>
      <c r="I82" s="206">
        <v>15804.23</v>
      </c>
      <c r="J82" s="206"/>
      <c r="K82" s="198"/>
      <c r="L82" s="198"/>
      <c r="M82" s="198"/>
      <c r="N82" s="207">
        <f t="shared" si="118"/>
        <v>18965.075999999997</v>
      </c>
      <c r="O82" s="207">
        <f t="shared" si="119"/>
        <v>0</v>
      </c>
      <c r="P82" s="208">
        <f t="shared" si="120"/>
        <v>18965.075999999997</v>
      </c>
      <c r="Q82" s="207">
        <f t="shared" si="121"/>
        <v>0</v>
      </c>
      <c r="R82" s="207">
        <f t="shared" si="122"/>
        <v>18965.075999999997</v>
      </c>
      <c r="S82" s="467"/>
    </row>
    <row r="83" spans="1:19" x14ac:dyDescent="0.25">
      <c r="A83" s="487"/>
      <c r="B83" s="497"/>
      <c r="C83" s="490"/>
      <c r="D83" s="239"/>
      <c r="E83" s="470"/>
      <c r="F83" s="564"/>
      <c r="G83" s="192" t="s">
        <v>383</v>
      </c>
      <c r="H83" s="349"/>
      <c r="I83" s="191">
        <v>5099.43</v>
      </c>
      <c r="J83" s="191"/>
      <c r="K83" s="192"/>
      <c r="L83" s="192"/>
      <c r="M83" s="192"/>
      <c r="N83" s="142">
        <f t="shared" si="118"/>
        <v>6119.3159999999998</v>
      </c>
      <c r="O83" s="142">
        <f t="shared" si="119"/>
        <v>0</v>
      </c>
      <c r="P83" s="151">
        <f t="shared" si="120"/>
        <v>6119.3159999999998</v>
      </c>
      <c r="Q83" s="142">
        <f t="shared" si="121"/>
        <v>0</v>
      </c>
      <c r="R83" s="142">
        <f t="shared" si="122"/>
        <v>6119.3159999999998</v>
      </c>
      <c r="S83" s="467"/>
    </row>
    <row r="84" spans="1:19" ht="15.75" thickBot="1" x14ac:dyDescent="0.3">
      <c r="A84" s="487"/>
      <c r="B84" s="498"/>
      <c r="C84" s="491"/>
      <c r="D84" s="240"/>
      <c r="E84" s="471"/>
      <c r="F84" s="565"/>
      <c r="G84" s="209" t="s">
        <v>388</v>
      </c>
      <c r="H84" s="347"/>
      <c r="I84" s="210">
        <v>1416.76</v>
      </c>
      <c r="J84" s="210"/>
      <c r="K84" s="209"/>
      <c r="L84" s="209"/>
      <c r="M84" s="209"/>
      <c r="N84" s="211">
        <f t="shared" si="118"/>
        <v>1700.1119999999999</v>
      </c>
      <c r="O84" s="211">
        <f t="shared" si="119"/>
        <v>0</v>
      </c>
      <c r="P84" s="212">
        <f t="shared" si="120"/>
        <v>1700.1119999999999</v>
      </c>
      <c r="Q84" s="211">
        <f t="shared" si="121"/>
        <v>0</v>
      </c>
      <c r="R84" s="211">
        <f t="shared" si="122"/>
        <v>1700.1119999999999</v>
      </c>
      <c r="S84" s="468"/>
    </row>
    <row r="85" spans="1:19" ht="34.5" customHeight="1" x14ac:dyDescent="0.25">
      <c r="A85" s="487"/>
      <c r="B85" s="499" t="s">
        <v>280</v>
      </c>
      <c r="C85" s="492" t="s">
        <v>283</v>
      </c>
      <c r="D85" s="238"/>
      <c r="E85" s="469" t="s">
        <v>295</v>
      </c>
      <c r="F85" s="472">
        <v>15827.22</v>
      </c>
      <c r="G85" s="218" t="s">
        <v>305</v>
      </c>
      <c r="H85" s="257"/>
      <c r="I85" s="219">
        <v>10253.58</v>
      </c>
      <c r="J85" s="219"/>
      <c r="K85" s="218"/>
      <c r="L85" s="218"/>
      <c r="M85" s="218"/>
      <c r="N85" s="220">
        <f>(I85+K85)*1.2</f>
        <v>12304.296</v>
      </c>
      <c r="O85" s="220">
        <f t="shared" si="113"/>
        <v>0</v>
      </c>
      <c r="P85" s="221">
        <f t="shared" si="116"/>
        <v>12304.296</v>
      </c>
      <c r="Q85" s="220">
        <f t="shared" si="114"/>
        <v>0</v>
      </c>
      <c r="R85" s="220">
        <f t="shared" si="117"/>
        <v>12304.296</v>
      </c>
      <c r="S85" s="559">
        <f>F85-SUM(R85:R87)</f>
        <v>0</v>
      </c>
    </row>
    <row r="86" spans="1:19" ht="28.5" x14ac:dyDescent="0.25">
      <c r="A86" s="487"/>
      <c r="B86" s="497"/>
      <c r="C86" s="493"/>
      <c r="D86" s="239"/>
      <c r="E86" s="470"/>
      <c r="F86" s="473"/>
      <c r="G86" s="186" t="s">
        <v>306</v>
      </c>
      <c r="H86" s="255"/>
      <c r="I86" s="133">
        <v>1848.8</v>
      </c>
      <c r="J86" s="133"/>
      <c r="K86" s="186"/>
      <c r="L86" s="186"/>
      <c r="M86" s="186"/>
      <c r="N86" s="142">
        <f t="shared" si="115"/>
        <v>2218.56</v>
      </c>
      <c r="O86" s="142">
        <f t="shared" si="113"/>
        <v>0</v>
      </c>
      <c r="P86" s="151">
        <f t="shared" si="116"/>
        <v>2218.56</v>
      </c>
      <c r="Q86" s="142">
        <f t="shared" si="114"/>
        <v>0</v>
      </c>
      <c r="R86" s="142">
        <f t="shared" si="117"/>
        <v>2218.56</v>
      </c>
      <c r="S86" s="560"/>
    </row>
    <row r="87" spans="1:19" ht="15.75" thickBot="1" x14ac:dyDescent="0.3">
      <c r="A87" s="487"/>
      <c r="B87" s="497"/>
      <c r="C87" s="493"/>
      <c r="D87" s="239"/>
      <c r="E87" s="471"/>
      <c r="F87" s="474"/>
      <c r="G87" s="209" t="s">
        <v>350</v>
      </c>
      <c r="H87" s="258"/>
      <c r="I87" s="210">
        <v>1086.97</v>
      </c>
      <c r="J87" s="210"/>
      <c r="K87" s="209"/>
      <c r="L87" s="209"/>
      <c r="M87" s="209"/>
      <c r="N87" s="211">
        <f t="shared" si="115"/>
        <v>1304.364</v>
      </c>
      <c r="O87" s="211">
        <f t="shared" si="113"/>
        <v>0</v>
      </c>
      <c r="P87" s="212">
        <f t="shared" si="116"/>
        <v>1304.364</v>
      </c>
      <c r="Q87" s="211">
        <f t="shared" si="114"/>
        <v>0</v>
      </c>
      <c r="R87" s="211">
        <f t="shared" si="117"/>
        <v>1304.364</v>
      </c>
      <c r="S87" s="561"/>
    </row>
    <row r="88" spans="1:19" x14ac:dyDescent="0.25">
      <c r="A88" s="487"/>
      <c r="B88" s="497"/>
      <c r="C88" s="493"/>
      <c r="D88" s="239"/>
      <c r="E88" s="470" t="s">
        <v>364</v>
      </c>
      <c r="F88" s="566">
        <v>15827.22</v>
      </c>
      <c r="G88" s="198" t="s">
        <v>363</v>
      </c>
      <c r="H88" s="265"/>
      <c r="I88" s="206">
        <v>8646.27</v>
      </c>
      <c r="J88" s="206"/>
      <c r="K88" s="198"/>
      <c r="L88" s="198"/>
      <c r="M88" s="198"/>
      <c r="N88" s="207">
        <f t="shared" si="115"/>
        <v>10375.523999999999</v>
      </c>
      <c r="O88" s="207">
        <f t="shared" si="113"/>
        <v>0</v>
      </c>
      <c r="P88" s="208">
        <f t="shared" si="116"/>
        <v>10375.523999999999</v>
      </c>
      <c r="Q88" s="207">
        <f t="shared" si="114"/>
        <v>0</v>
      </c>
      <c r="R88" s="207">
        <f t="shared" si="117"/>
        <v>10375.523999999999</v>
      </c>
      <c r="S88" s="444">
        <f>F88-SUM(R88:R90)</f>
        <v>1304.3639999999996</v>
      </c>
    </row>
    <row r="89" spans="1:19" x14ac:dyDescent="0.25">
      <c r="A89" s="487"/>
      <c r="B89" s="497"/>
      <c r="C89" s="493"/>
      <c r="D89" s="239"/>
      <c r="E89" s="470"/>
      <c r="F89" s="566"/>
      <c r="G89" s="186" t="s">
        <v>375</v>
      </c>
      <c r="H89" s="255"/>
      <c r="I89" s="133">
        <v>3456.11</v>
      </c>
      <c r="J89" s="133"/>
      <c r="K89" s="186"/>
      <c r="L89" s="186"/>
      <c r="M89" s="186"/>
      <c r="N89" s="142">
        <f t="shared" si="115"/>
        <v>4147.3320000000003</v>
      </c>
      <c r="O89" s="142">
        <f t="shared" si="113"/>
        <v>0</v>
      </c>
      <c r="P89" s="151">
        <f t="shared" si="116"/>
        <v>4147.3320000000003</v>
      </c>
      <c r="Q89" s="142">
        <f t="shared" si="114"/>
        <v>0</v>
      </c>
      <c r="R89" s="142">
        <f t="shared" si="117"/>
        <v>4147.3320000000003</v>
      </c>
      <c r="S89" s="444"/>
    </row>
    <row r="90" spans="1:19" ht="15.75" thickBot="1" x14ac:dyDescent="0.3">
      <c r="A90" s="487"/>
      <c r="B90" s="497"/>
      <c r="C90" s="493"/>
      <c r="D90" s="239"/>
      <c r="E90" s="470"/>
      <c r="F90" s="566"/>
      <c r="G90" s="192"/>
      <c r="H90" s="256"/>
      <c r="I90" s="191"/>
      <c r="J90" s="191"/>
      <c r="K90" s="192"/>
      <c r="L90" s="192"/>
      <c r="M90" s="192"/>
      <c r="N90" s="143">
        <f t="shared" si="115"/>
        <v>0</v>
      </c>
      <c r="O90" s="143">
        <f t="shared" si="113"/>
        <v>0</v>
      </c>
      <c r="P90" s="217">
        <f t="shared" si="116"/>
        <v>0</v>
      </c>
      <c r="Q90" s="143">
        <f t="shared" si="114"/>
        <v>0</v>
      </c>
      <c r="R90" s="143">
        <f t="shared" si="117"/>
        <v>0</v>
      </c>
      <c r="S90" s="444"/>
    </row>
    <row r="91" spans="1:19" x14ac:dyDescent="0.25">
      <c r="A91" s="488"/>
      <c r="B91" s="432" t="s">
        <v>281</v>
      </c>
      <c r="C91" s="430" t="s">
        <v>284</v>
      </c>
      <c r="D91" s="364"/>
      <c r="E91" s="430" t="s">
        <v>344</v>
      </c>
      <c r="F91" s="428">
        <v>25804.799999999999</v>
      </c>
      <c r="G91" s="218" t="s">
        <v>426</v>
      </c>
      <c r="H91" s="257"/>
      <c r="I91" s="219">
        <v>1075</v>
      </c>
      <c r="J91" s="219"/>
      <c r="K91" s="218"/>
      <c r="L91" s="218"/>
      <c r="M91" s="218"/>
      <c r="N91" s="142">
        <f>(I91+K91)*1.2</f>
        <v>1290</v>
      </c>
      <c r="O91" s="142">
        <f t="shared" si="113"/>
        <v>0</v>
      </c>
      <c r="P91" s="151">
        <f>O91+N91-L91-M91</f>
        <v>1290</v>
      </c>
      <c r="Q91" s="142">
        <f t="shared" si="114"/>
        <v>0</v>
      </c>
      <c r="R91" s="142">
        <f>P91-ABS(Q91)</f>
        <v>1290</v>
      </c>
      <c r="S91" s="436">
        <v>0</v>
      </c>
    </row>
    <row r="92" spans="1:19" ht="32.25" customHeight="1" x14ac:dyDescent="0.25">
      <c r="A92" s="488"/>
      <c r="B92" s="433"/>
      <c r="C92" s="431"/>
      <c r="D92" s="363"/>
      <c r="E92" s="431"/>
      <c r="F92" s="429"/>
      <c r="G92" s="186" t="s">
        <v>342</v>
      </c>
      <c r="H92" s="255"/>
      <c r="I92" s="133">
        <v>20428.8</v>
      </c>
      <c r="J92" s="133"/>
      <c r="K92" s="186"/>
      <c r="L92" s="186"/>
      <c r="M92" s="186"/>
      <c r="N92" s="142">
        <f>(I92+K92)*1.2</f>
        <v>24514.559999999998</v>
      </c>
      <c r="O92" s="142">
        <f t="shared" ref="O92:O102" si="132">(J92+K92)*1.2</f>
        <v>0</v>
      </c>
      <c r="P92" s="151">
        <f>O92+N92-L92-M92</f>
        <v>24514.559999999998</v>
      </c>
      <c r="Q92" s="142">
        <f t="shared" ref="Q92:Q102" si="133">K92*1.2</f>
        <v>0</v>
      </c>
      <c r="R92" s="142">
        <f>P92-ABS(Q92)</f>
        <v>24514.559999999998</v>
      </c>
      <c r="S92" s="437"/>
    </row>
    <row r="93" spans="1:19" x14ac:dyDescent="0.25">
      <c r="A93" s="488"/>
      <c r="B93" s="433"/>
      <c r="C93" s="431"/>
      <c r="D93" s="363"/>
      <c r="E93" s="448" t="s">
        <v>402</v>
      </c>
      <c r="F93" s="449">
        <v>25804.799999999999</v>
      </c>
      <c r="G93" s="1" t="s">
        <v>377</v>
      </c>
      <c r="H93" s="255"/>
      <c r="I93" s="350">
        <v>19178.55</v>
      </c>
      <c r="J93" s="133"/>
      <c r="K93" s="186"/>
      <c r="L93" s="186"/>
      <c r="M93" s="186"/>
      <c r="N93" s="142">
        <f t="shared" ref="N93:N102" si="134">(I93+K93)*1.2</f>
        <v>23014.26</v>
      </c>
      <c r="O93" s="142">
        <f t="shared" si="132"/>
        <v>0</v>
      </c>
      <c r="P93" s="151">
        <f t="shared" ref="P93:P102" si="135">O93+N93-L93-M93</f>
        <v>23014.26</v>
      </c>
      <c r="Q93" s="142">
        <f t="shared" si="133"/>
        <v>0</v>
      </c>
      <c r="R93" s="142">
        <f t="shared" ref="R93:R102" si="136">P93-ABS(Q93)</f>
        <v>23014.26</v>
      </c>
      <c r="S93" s="438">
        <f t="shared" ref="S93" si="137">+F93-P93</f>
        <v>2790.5400000000009</v>
      </c>
    </row>
    <row r="94" spans="1:19" x14ac:dyDescent="0.25">
      <c r="A94" s="488"/>
      <c r="B94" s="433"/>
      <c r="C94" s="431"/>
      <c r="D94" s="363"/>
      <c r="E94" s="448"/>
      <c r="F94" s="449"/>
      <c r="G94" s="1" t="s">
        <v>426</v>
      </c>
      <c r="H94" s="255"/>
      <c r="I94" s="350">
        <v>3384.45</v>
      </c>
      <c r="J94" s="133"/>
      <c r="K94" s="186"/>
      <c r="L94" s="186"/>
      <c r="M94" s="186"/>
      <c r="N94" s="142">
        <f t="shared" si="134"/>
        <v>4061.3399999999997</v>
      </c>
      <c r="O94" s="142"/>
      <c r="P94" s="151">
        <f t="shared" si="135"/>
        <v>4061.3399999999997</v>
      </c>
      <c r="Q94" s="142"/>
      <c r="R94" s="142">
        <f t="shared" si="136"/>
        <v>4061.3399999999997</v>
      </c>
      <c r="S94" s="438"/>
    </row>
    <row r="95" spans="1:19" x14ac:dyDescent="0.25">
      <c r="A95" s="488"/>
      <c r="B95" s="433"/>
      <c r="C95" s="431"/>
      <c r="D95" s="363"/>
      <c r="E95" s="448"/>
      <c r="F95" s="449"/>
      <c r="G95" s="186" t="s">
        <v>407</v>
      </c>
      <c r="H95" s="255"/>
      <c r="I95" s="127">
        <v>405</v>
      </c>
      <c r="J95" s="133"/>
      <c r="K95" s="186"/>
      <c r="L95" s="186"/>
      <c r="M95" s="186"/>
      <c r="N95" s="142">
        <f t="shared" ref="N95:N96" si="138">(I95+K95)*1.2</f>
        <v>486</v>
      </c>
      <c r="O95" s="142">
        <f t="shared" ref="O95" si="139">(J95+K95)*1.2</f>
        <v>0</v>
      </c>
      <c r="P95" s="151">
        <f t="shared" ref="P95" si="140">O95+N95-L95-M95</f>
        <v>486</v>
      </c>
      <c r="Q95" s="142">
        <f t="shared" ref="Q95" si="141">K95*1.2</f>
        <v>0</v>
      </c>
      <c r="R95" s="142">
        <f t="shared" ref="R95" si="142">P95-ABS(Q95)</f>
        <v>486</v>
      </c>
      <c r="S95" s="438"/>
    </row>
    <row r="96" spans="1:19" x14ac:dyDescent="0.25">
      <c r="A96" s="488"/>
      <c r="B96" s="433"/>
      <c r="C96" s="431"/>
      <c r="D96" s="363"/>
      <c r="E96" s="448" t="s">
        <v>378</v>
      </c>
      <c r="F96" s="452">
        <v>22863.599999999999</v>
      </c>
      <c r="G96" s="1" t="s">
        <v>379</v>
      </c>
      <c r="H96" s="255"/>
      <c r="I96" s="1">
        <v>6626.5</v>
      </c>
      <c r="J96" s="133"/>
      <c r="K96" s="186"/>
      <c r="L96" s="186"/>
      <c r="M96" s="186"/>
      <c r="N96" s="142">
        <f t="shared" si="138"/>
        <v>7951.7999999999993</v>
      </c>
      <c r="O96" s="142">
        <f t="shared" si="132"/>
        <v>0</v>
      </c>
      <c r="P96" s="151">
        <f t="shared" si="135"/>
        <v>7951.7999999999993</v>
      </c>
      <c r="Q96" s="142">
        <f t="shared" si="133"/>
        <v>0</v>
      </c>
      <c r="R96" s="142">
        <f t="shared" si="136"/>
        <v>7951.7999999999993</v>
      </c>
      <c r="S96" s="438">
        <f>+F96-SUM(R96:R98)</f>
        <v>3369.6000000000022</v>
      </c>
    </row>
    <row r="97" spans="1:19" x14ac:dyDescent="0.25">
      <c r="A97" s="488"/>
      <c r="B97" s="433"/>
      <c r="C97" s="431"/>
      <c r="D97" s="363"/>
      <c r="E97" s="448"/>
      <c r="F97" s="452"/>
      <c r="G97" s="186" t="s">
        <v>414</v>
      </c>
      <c r="H97" s="255"/>
      <c r="I97" s="133">
        <v>5955.5</v>
      </c>
      <c r="J97" s="133"/>
      <c r="K97" s="186"/>
      <c r="L97" s="186"/>
      <c r="M97" s="186"/>
      <c r="N97" s="142">
        <f t="shared" si="134"/>
        <v>7146.5999999999995</v>
      </c>
      <c r="O97" s="142">
        <f t="shared" si="132"/>
        <v>0</v>
      </c>
      <c r="P97" s="151">
        <f t="shared" si="135"/>
        <v>7146.5999999999995</v>
      </c>
      <c r="Q97" s="142">
        <f t="shared" si="133"/>
        <v>0</v>
      </c>
      <c r="R97" s="142">
        <f t="shared" si="136"/>
        <v>7146.5999999999995</v>
      </c>
      <c r="S97" s="438"/>
    </row>
    <row r="98" spans="1:19" ht="15.75" thickBot="1" x14ac:dyDescent="0.3">
      <c r="A98" s="488"/>
      <c r="B98" s="434"/>
      <c r="C98" s="435"/>
      <c r="D98" s="365"/>
      <c r="E98" s="451"/>
      <c r="F98" s="453"/>
      <c r="G98" s="209" t="s">
        <v>426</v>
      </c>
      <c r="H98" s="258"/>
      <c r="I98" s="210">
        <v>3663</v>
      </c>
      <c r="J98" s="210"/>
      <c r="K98" s="209"/>
      <c r="L98" s="209"/>
      <c r="M98" s="209"/>
      <c r="N98" s="211">
        <f t="shared" si="134"/>
        <v>4395.5999999999995</v>
      </c>
      <c r="O98" s="211">
        <f t="shared" si="132"/>
        <v>0</v>
      </c>
      <c r="P98" s="212">
        <f t="shared" si="135"/>
        <v>4395.5999999999995</v>
      </c>
      <c r="Q98" s="211">
        <f t="shared" si="133"/>
        <v>0</v>
      </c>
      <c r="R98" s="211">
        <f t="shared" si="136"/>
        <v>4395.5999999999995</v>
      </c>
      <c r="S98" s="439"/>
    </row>
    <row r="99" spans="1:19" ht="15" customHeight="1" x14ac:dyDescent="0.25">
      <c r="A99" s="488"/>
      <c r="B99" s="501" t="s">
        <v>282</v>
      </c>
      <c r="C99" s="493" t="s">
        <v>285</v>
      </c>
      <c r="D99" s="239"/>
      <c r="E99" s="447" t="s">
        <v>343</v>
      </c>
      <c r="F99" s="445">
        <f>9631.62*1.2+945*1.2</f>
        <v>12691.944000000001</v>
      </c>
      <c r="G99" s="198" t="s">
        <v>338</v>
      </c>
      <c r="H99" s="265"/>
      <c r="I99" s="206">
        <v>1556.3</v>
      </c>
      <c r="J99" s="206"/>
      <c r="K99" s="198"/>
      <c r="L99" s="198"/>
      <c r="M99" s="198"/>
      <c r="N99" s="207">
        <f t="shared" si="134"/>
        <v>1867.56</v>
      </c>
      <c r="O99" s="207">
        <f t="shared" si="132"/>
        <v>0</v>
      </c>
      <c r="P99" s="208">
        <f t="shared" si="135"/>
        <v>1867.56</v>
      </c>
      <c r="Q99" s="207">
        <f t="shared" si="133"/>
        <v>0</v>
      </c>
      <c r="R99" s="207">
        <f t="shared" si="136"/>
        <v>1867.56</v>
      </c>
      <c r="S99" s="457">
        <f>F99-SUM(R99:R101)</f>
        <v>0</v>
      </c>
    </row>
    <row r="100" spans="1:19" x14ac:dyDescent="0.25">
      <c r="A100" s="488"/>
      <c r="B100" s="501"/>
      <c r="C100" s="493"/>
      <c r="D100" s="239"/>
      <c r="E100" s="440"/>
      <c r="F100" s="446"/>
      <c r="G100" s="186" t="s">
        <v>339</v>
      </c>
      <c r="H100" s="255"/>
      <c r="I100" s="133">
        <v>2736.42</v>
      </c>
      <c r="J100" s="133"/>
      <c r="K100" s="186"/>
      <c r="L100" s="186"/>
      <c r="M100" s="186"/>
      <c r="N100" s="142">
        <f t="shared" si="134"/>
        <v>3283.7040000000002</v>
      </c>
      <c r="O100" s="142">
        <f t="shared" si="132"/>
        <v>0</v>
      </c>
      <c r="P100" s="151">
        <f t="shared" si="135"/>
        <v>3283.7040000000002</v>
      </c>
      <c r="Q100" s="142">
        <f t="shared" si="133"/>
        <v>0</v>
      </c>
      <c r="R100" s="142">
        <f t="shared" si="136"/>
        <v>3283.7040000000002</v>
      </c>
      <c r="S100" s="458"/>
    </row>
    <row r="101" spans="1:19" x14ac:dyDescent="0.25">
      <c r="A101" s="488"/>
      <c r="B101" s="501"/>
      <c r="C101" s="493"/>
      <c r="D101" s="239"/>
      <c r="E101" s="440"/>
      <c r="F101" s="446"/>
      <c r="G101" s="186" t="s">
        <v>340</v>
      </c>
      <c r="H101" s="255"/>
      <c r="I101" s="133">
        <v>6283.9</v>
      </c>
      <c r="J101" s="133"/>
      <c r="K101" s="186"/>
      <c r="L101" s="186"/>
      <c r="M101" s="186"/>
      <c r="N101" s="142">
        <f t="shared" si="134"/>
        <v>7540.6799999999994</v>
      </c>
      <c r="O101" s="142">
        <f t="shared" si="132"/>
        <v>0</v>
      </c>
      <c r="P101" s="151">
        <f t="shared" si="135"/>
        <v>7540.6799999999994</v>
      </c>
      <c r="Q101" s="142">
        <f t="shared" si="133"/>
        <v>0</v>
      </c>
      <c r="R101" s="142">
        <f t="shared" si="136"/>
        <v>7540.6799999999994</v>
      </c>
      <c r="S101" s="458"/>
    </row>
    <row r="102" spans="1:19" x14ac:dyDescent="0.25">
      <c r="A102" s="488"/>
      <c r="B102" s="501"/>
      <c r="C102" s="493"/>
      <c r="D102" s="239"/>
      <c r="E102" s="440" t="s">
        <v>389</v>
      </c>
      <c r="F102" s="446">
        <v>13584.86</v>
      </c>
      <c r="G102" s="186" t="s">
        <v>390</v>
      </c>
      <c r="H102" s="255"/>
      <c r="I102" s="272">
        <v>5175.28</v>
      </c>
      <c r="J102" s="133"/>
      <c r="K102" s="186"/>
      <c r="L102" s="186"/>
      <c r="M102" s="186"/>
      <c r="N102" s="142">
        <f t="shared" si="134"/>
        <v>6210.3359999999993</v>
      </c>
      <c r="O102" s="142">
        <f t="shared" si="132"/>
        <v>0</v>
      </c>
      <c r="P102" s="151">
        <f t="shared" si="135"/>
        <v>6210.3359999999993</v>
      </c>
      <c r="Q102" s="142">
        <f t="shared" si="133"/>
        <v>0</v>
      </c>
      <c r="R102" s="142">
        <f t="shared" si="136"/>
        <v>6210.3359999999993</v>
      </c>
      <c r="S102" s="558">
        <f>F102-SUM(R102:R104)</f>
        <v>-3.9999999989959178E-3</v>
      </c>
    </row>
    <row r="103" spans="1:19" x14ac:dyDescent="0.25">
      <c r="A103" s="488"/>
      <c r="B103" s="501"/>
      <c r="C103" s="493"/>
      <c r="D103" s="239"/>
      <c r="E103" s="440"/>
      <c r="F103" s="446"/>
      <c r="G103" s="186" t="s">
        <v>403</v>
      </c>
      <c r="H103" s="255"/>
      <c r="I103" s="272">
        <v>4726.6499999999996</v>
      </c>
      <c r="J103" s="133"/>
      <c r="K103" s="186"/>
      <c r="L103" s="186"/>
      <c r="M103" s="186"/>
      <c r="N103" s="142">
        <f t="shared" ref="N103:N104" si="143">(I103+K103)*1.2</f>
        <v>5671.98</v>
      </c>
      <c r="O103" s="142">
        <f t="shared" ref="O103:O104" si="144">(J103+K103)*1.2</f>
        <v>0</v>
      </c>
      <c r="P103" s="151">
        <f t="shared" ref="P103:P104" si="145">O103+N103-L103-M103</f>
        <v>5671.98</v>
      </c>
      <c r="Q103" s="142">
        <f t="shared" ref="Q103:Q104" si="146">K103*1.2</f>
        <v>0</v>
      </c>
      <c r="R103" s="142">
        <f t="shared" ref="R103:R104" si="147">P103-ABS(Q103)</f>
        <v>5671.98</v>
      </c>
      <c r="S103" s="558"/>
    </row>
    <row r="104" spans="1:19" x14ac:dyDescent="0.25">
      <c r="A104" s="488"/>
      <c r="B104" s="501"/>
      <c r="C104" s="493"/>
      <c r="D104" s="239"/>
      <c r="E104" s="440"/>
      <c r="F104" s="446"/>
      <c r="G104" s="1" t="s">
        <v>424</v>
      </c>
      <c r="H104" s="269"/>
      <c r="I104" s="127">
        <v>1418.79</v>
      </c>
      <c r="J104" s="133"/>
      <c r="K104" s="186"/>
      <c r="L104" s="186"/>
      <c r="M104" s="186"/>
      <c r="N104" s="142">
        <f t="shared" si="143"/>
        <v>1702.548</v>
      </c>
      <c r="O104" s="142">
        <f t="shared" si="144"/>
        <v>0</v>
      </c>
      <c r="P104" s="151">
        <f t="shared" si="145"/>
        <v>1702.548</v>
      </c>
      <c r="Q104" s="142">
        <f t="shared" si="146"/>
        <v>0</v>
      </c>
      <c r="R104" s="142">
        <f t="shared" si="147"/>
        <v>1702.548</v>
      </c>
      <c r="S104" s="558"/>
    </row>
    <row r="105" spans="1:19" x14ac:dyDescent="0.25">
      <c r="A105" s="488"/>
      <c r="B105" s="501"/>
      <c r="C105" s="493"/>
      <c r="D105" s="239"/>
      <c r="E105" s="440" t="s">
        <v>419</v>
      </c>
      <c r="F105" s="429">
        <f>11508.76+240</f>
        <v>11748.76</v>
      </c>
      <c r="G105" s="186" t="s">
        <v>391</v>
      </c>
      <c r="H105" s="255"/>
      <c r="I105" s="272">
        <v>1907.44</v>
      </c>
      <c r="J105" s="133"/>
      <c r="K105" s="186"/>
      <c r="L105" s="186"/>
      <c r="M105" s="186"/>
      <c r="N105" s="142">
        <f t="shared" ref="N105" si="148">(I105+K105)*1.2</f>
        <v>2288.9279999999999</v>
      </c>
      <c r="O105" s="142">
        <f t="shared" ref="O105" si="149">(J105+K105)*1.2</f>
        <v>0</v>
      </c>
      <c r="P105" s="151">
        <f t="shared" ref="P105" si="150">O105+N105-L105-M105</f>
        <v>2288.9279999999999</v>
      </c>
      <c r="Q105" s="142">
        <f t="shared" ref="Q105" si="151">K105*1.2</f>
        <v>0</v>
      </c>
      <c r="R105" s="142">
        <f t="shared" ref="R105" si="152">P105-ABS(Q105)</f>
        <v>2288.9279999999999</v>
      </c>
      <c r="S105" s="562">
        <f>F105-SUM(R105:R107)</f>
        <v>3.9999999989959178E-3</v>
      </c>
    </row>
    <row r="106" spans="1:19" x14ac:dyDescent="0.25">
      <c r="A106" s="488"/>
      <c r="B106" s="501"/>
      <c r="C106" s="493"/>
      <c r="D106" s="239"/>
      <c r="E106" s="440"/>
      <c r="F106" s="429"/>
      <c r="G106" s="186" t="s">
        <v>420</v>
      </c>
      <c r="H106" s="255"/>
      <c r="I106" s="255">
        <v>7203.67</v>
      </c>
      <c r="J106" s="133"/>
      <c r="K106" s="186"/>
      <c r="L106" s="186"/>
      <c r="M106" s="186"/>
      <c r="N106" s="142">
        <f t="shared" ref="N106:N107" si="153">(I106+K106)*1.2</f>
        <v>8644.4040000000005</v>
      </c>
      <c r="O106" s="142">
        <f t="shared" ref="O106" si="154">(J106+K106)*1.2</f>
        <v>0</v>
      </c>
      <c r="P106" s="151">
        <f t="shared" ref="P106" si="155">O106+N106-L106-M106</f>
        <v>8644.4040000000005</v>
      </c>
      <c r="Q106" s="142">
        <f t="shared" ref="Q106" si="156">K106*1.2</f>
        <v>0</v>
      </c>
      <c r="R106" s="142">
        <f t="shared" ref="R106" si="157">P106-ABS(Q106)</f>
        <v>8644.4040000000005</v>
      </c>
      <c r="S106" s="467"/>
    </row>
    <row r="107" spans="1:19" ht="15.75" thickBot="1" x14ac:dyDescent="0.3">
      <c r="A107" s="488"/>
      <c r="B107" s="501"/>
      <c r="C107" s="493"/>
      <c r="D107" s="238"/>
      <c r="E107" s="441"/>
      <c r="F107" s="442"/>
      <c r="G107" s="333" t="s">
        <v>425</v>
      </c>
      <c r="H107" s="256"/>
      <c r="I107" s="256">
        <v>679.52</v>
      </c>
      <c r="J107" s="191"/>
      <c r="K107" s="192"/>
      <c r="L107" s="192"/>
      <c r="M107" s="192"/>
      <c r="N107" s="143">
        <f t="shared" si="153"/>
        <v>815.42399999999998</v>
      </c>
      <c r="O107" s="142">
        <f t="shared" ref="O107" si="158">(J107+K107)*1.2</f>
        <v>0</v>
      </c>
      <c r="P107" s="151">
        <f t="shared" ref="P107" si="159">O107+N107-L107-M107</f>
        <v>815.42399999999998</v>
      </c>
      <c r="Q107" s="142">
        <f t="shared" ref="Q107" si="160">K107*1.2</f>
        <v>0</v>
      </c>
      <c r="R107" s="142">
        <f t="shared" ref="R107" si="161">P107-ABS(Q107)</f>
        <v>815.42399999999998</v>
      </c>
      <c r="S107" s="468"/>
    </row>
    <row r="108" spans="1:19" ht="46.5" customHeight="1" x14ac:dyDescent="0.25">
      <c r="A108" s="488"/>
      <c r="B108" s="319"/>
      <c r="C108" s="528" t="s">
        <v>416</v>
      </c>
      <c r="D108" s="248"/>
      <c r="E108" s="353" t="s">
        <v>418</v>
      </c>
      <c r="F108" s="291">
        <v>6288.31</v>
      </c>
      <c r="G108" s="218"/>
      <c r="H108" s="257"/>
      <c r="I108" s="219">
        <v>5128.3100000000004</v>
      </c>
      <c r="J108" s="219"/>
      <c r="K108" s="218"/>
      <c r="L108" s="218"/>
      <c r="M108" s="218"/>
      <c r="N108" s="220">
        <f t="shared" ref="N108:N118" si="162">(I108+K108)*1.2</f>
        <v>6153.9720000000007</v>
      </c>
      <c r="O108" s="220">
        <f t="shared" ref="O108:O118" si="163">(J108+K108)*1.2</f>
        <v>0</v>
      </c>
      <c r="P108" s="221">
        <f t="shared" ref="P108:P118" si="164">O108+N108-L108-M108</f>
        <v>6153.9720000000007</v>
      </c>
      <c r="Q108" s="220">
        <f t="shared" ref="Q108:Q118" si="165">K108*1.2</f>
        <v>0</v>
      </c>
      <c r="R108" s="220">
        <f t="shared" ref="R108:R118" si="166">P108-ABS(Q108)</f>
        <v>6153.9720000000007</v>
      </c>
      <c r="S108" s="247">
        <f>F108-R108</f>
        <v>134.33799999999974</v>
      </c>
    </row>
    <row r="109" spans="1:19" ht="21" customHeight="1" x14ac:dyDescent="0.25">
      <c r="A109" s="488"/>
      <c r="B109" s="320"/>
      <c r="C109" s="529"/>
      <c r="D109" s="239"/>
      <c r="E109" s="459" t="s">
        <v>417</v>
      </c>
      <c r="F109" s="429">
        <v>4569</v>
      </c>
      <c r="G109" s="186"/>
      <c r="H109" s="255"/>
      <c r="I109" s="133">
        <v>190.37</v>
      </c>
      <c r="J109" s="133"/>
      <c r="K109" s="186"/>
      <c r="L109" s="186"/>
      <c r="M109" s="186"/>
      <c r="N109" s="142">
        <f t="shared" ref="N109" si="167">(I109+K109)*1.2</f>
        <v>228.44399999999999</v>
      </c>
      <c r="O109" s="142">
        <f t="shared" ref="O109" si="168">(J109+K109)*1.2</f>
        <v>0</v>
      </c>
      <c r="P109" s="151">
        <f t="shared" ref="P109" si="169">O109+N109-L109-M109</f>
        <v>228.44399999999999</v>
      </c>
      <c r="Q109" s="142">
        <f t="shared" ref="Q109" si="170">K109*1.2</f>
        <v>0</v>
      </c>
      <c r="R109" s="142">
        <f t="shared" ref="R109" si="171">P109-ABS(Q109)</f>
        <v>228.44399999999999</v>
      </c>
      <c r="S109" s="438">
        <f>F109-(SUM(R109:R110))</f>
        <v>0</v>
      </c>
    </row>
    <row r="110" spans="1:19" ht="24.75" customHeight="1" x14ac:dyDescent="0.25">
      <c r="A110" s="488"/>
      <c r="B110" s="320"/>
      <c r="C110" s="529"/>
      <c r="D110" s="239"/>
      <c r="E110" s="459"/>
      <c r="F110" s="429"/>
      <c r="G110" s="186"/>
      <c r="H110" s="255"/>
      <c r="I110" s="133">
        <v>3617.13</v>
      </c>
      <c r="J110" s="133"/>
      <c r="K110" s="186"/>
      <c r="L110" s="186"/>
      <c r="M110" s="186"/>
      <c r="N110" s="142">
        <f t="shared" si="162"/>
        <v>4340.5559999999996</v>
      </c>
      <c r="O110" s="142">
        <f t="shared" si="163"/>
        <v>0</v>
      </c>
      <c r="P110" s="151">
        <f t="shared" si="164"/>
        <v>4340.5559999999996</v>
      </c>
      <c r="Q110" s="142">
        <f t="shared" si="165"/>
        <v>0</v>
      </c>
      <c r="R110" s="142">
        <f t="shared" si="166"/>
        <v>4340.5559999999996</v>
      </c>
      <c r="S110" s="438"/>
    </row>
    <row r="111" spans="1:19" ht="15.75" thickBot="1" x14ac:dyDescent="0.3">
      <c r="A111" s="488"/>
      <c r="B111" s="321"/>
      <c r="C111" s="531"/>
      <c r="D111" s="240"/>
      <c r="E111" s="354" t="s">
        <v>401</v>
      </c>
      <c r="F111" s="315">
        <v>3827.52</v>
      </c>
      <c r="G111" s="192"/>
      <c r="H111" s="256"/>
      <c r="I111" s="191">
        <v>3189.6</v>
      </c>
      <c r="J111" s="191"/>
      <c r="K111" s="192"/>
      <c r="L111" s="192"/>
      <c r="M111" s="192"/>
      <c r="N111" s="143">
        <f t="shared" si="162"/>
        <v>3827.5199999999995</v>
      </c>
      <c r="O111" s="143">
        <f t="shared" si="163"/>
        <v>0</v>
      </c>
      <c r="P111" s="217">
        <f t="shared" si="164"/>
        <v>3827.5199999999995</v>
      </c>
      <c r="Q111" s="143">
        <f t="shared" si="165"/>
        <v>0</v>
      </c>
      <c r="R111" s="143">
        <f t="shared" si="166"/>
        <v>3827.5199999999995</v>
      </c>
      <c r="S111" s="355">
        <v>0</v>
      </c>
    </row>
    <row r="112" spans="1:19" ht="28.5" x14ac:dyDescent="0.25">
      <c r="A112" s="488"/>
      <c r="B112" s="500" t="s">
        <v>287</v>
      </c>
      <c r="C112" s="494" t="s">
        <v>286</v>
      </c>
      <c r="D112" s="248"/>
      <c r="E112" s="543" t="s">
        <v>296</v>
      </c>
      <c r="F112" s="454">
        <v>7148.15</v>
      </c>
      <c r="G112" s="218" t="s">
        <v>304</v>
      </c>
      <c r="H112" s="257"/>
      <c r="I112" s="219">
        <v>3170.59</v>
      </c>
      <c r="J112" s="219"/>
      <c r="K112" s="218"/>
      <c r="L112" s="218"/>
      <c r="M112" s="218"/>
      <c r="N112" s="220">
        <f t="shared" si="162"/>
        <v>3804.7080000000001</v>
      </c>
      <c r="O112" s="220">
        <f t="shared" si="163"/>
        <v>0</v>
      </c>
      <c r="P112" s="221">
        <f t="shared" si="164"/>
        <v>3804.7080000000001</v>
      </c>
      <c r="Q112" s="220">
        <f t="shared" si="165"/>
        <v>0</v>
      </c>
      <c r="R112" s="220">
        <f t="shared" si="166"/>
        <v>3804.7080000000001</v>
      </c>
      <c r="S112" s="544">
        <f>F112-SUM(R112:R113)</f>
        <v>2.0000000004074536E-3</v>
      </c>
    </row>
    <row r="113" spans="1:19" x14ac:dyDescent="0.25">
      <c r="A113" s="488"/>
      <c r="B113" s="501"/>
      <c r="C113" s="493"/>
      <c r="D113" s="239"/>
      <c r="E113" s="440"/>
      <c r="F113" s="446"/>
      <c r="G113" s="186" t="s">
        <v>351</v>
      </c>
      <c r="H113" s="255"/>
      <c r="I113" s="133">
        <v>2786.2</v>
      </c>
      <c r="J113" s="133"/>
      <c r="K113" s="186"/>
      <c r="L113" s="186"/>
      <c r="M113" s="186"/>
      <c r="N113" s="142">
        <f t="shared" si="162"/>
        <v>3343.4399999999996</v>
      </c>
      <c r="O113" s="142">
        <f t="shared" si="163"/>
        <v>0</v>
      </c>
      <c r="P113" s="151">
        <f t="shared" si="164"/>
        <v>3343.4399999999996</v>
      </c>
      <c r="Q113" s="142">
        <f t="shared" si="165"/>
        <v>0</v>
      </c>
      <c r="R113" s="142">
        <f t="shared" si="166"/>
        <v>3343.4399999999996</v>
      </c>
      <c r="S113" s="438"/>
    </row>
    <row r="114" spans="1:19" x14ac:dyDescent="0.25">
      <c r="A114" s="488"/>
      <c r="B114" s="501"/>
      <c r="C114" s="493"/>
      <c r="D114" s="239"/>
      <c r="E114" s="440" t="s">
        <v>166</v>
      </c>
      <c r="F114" s="446">
        <v>7862.15</v>
      </c>
      <c r="G114" s="186" t="s">
        <v>374</v>
      </c>
      <c r="H114" s="255"/>
      <c r="I114" s="133">
        <v>2620</v>
      </c>
      <c r="J114" s="133"/>
      <c r="K114" s="186"/>
      <c r="L114" s="186"/>
      <c r="M114" s="186"/>
      <c r="N114" s="142">
        <f t="shared" si="162"/>
        <v>3144</v>
      </c>
      <c r="O114" s="142">
        <f t="shared" si="163"/>
        <v>0</v>
      </c>
      <c r="P114" s="151">
        <f t="shared" si="164"/>
        <v>3144</v>
      </c>
      <c r="Q114" s="142">
        <f t="shared" si="165"/>
        <v>0</v>
      </c>
      <c r="R114" s="142">
        <f t="shared" si="166"/>
        <v>3144</v>
      </c>
      <c r="S114" s="438">
        <f>F114-SUM(R114:R116)</f>
        <v>0.86599999999998545</v>
      </c>
    </row>
    <row r="115" spans="1:19" x14ac:dyDescent="0.25">
      <c r="A115" s="488"/>
      <c r="B115" s="501"/>
      <c r="C115" s="493"/>
      <c r="D115" s="239"/>
      <c r="E115" s="440"/>
      <c r="F115" s="446"/>
      <c r="G115" s="186" t="s">
        <v>415</v>
      </c>
      <c r="H115" s="255"/>
      <c r="I115" s="350">
        <v>655.14</v>
      </c>
      <c r="J115" s="133"/>
      <c r="K115" s="186"/>
      <c r="L115" s="186"/>
      <c r="M115" s="186"/>
      <c r="N115" s="142">
        <f t="shared" si="162"/>
        <v>786.16800000000001</v>
      </c>
      <c r="O115" s="142">
        <f t="shared" ref="O115" si="172">(J115+K115)*1.2</f>
        <v>0</v>
      </c>
      <c r="P115" s="151">
        <f t="shared" ref="P115" si="173">O115+N115-L115-M115</f>
        <v>786.16800000000001</v>
      </c>
      <c r="Q115" s="142">
        <f t="shared" ref="Q115" si="174">K115*1.2</f>
        <v>0</v>
      </c>
      <c r="R115" s="142">
        <f t="shared" ref="R115" si="175">P115-ABS(Q115)</f>
        <v>786.16800000000001</v>
      </c>
      <c r="S115" s="438"/>
    </row>
    <row r="116" spans="1:19" x14ac:dyDescent="0.25">
      <c r="A116" s="488"/>
      <c r="B116" s="501"/>
      <c r="C116" s="493"/>
      <c r="D116" s="239"/>
      <c r="E116" s="440"/>
      <c r="F116" s="446"/>
      <c r="G116" s="186" t="s">
        <v>397</v>
      </c>
      <c r="H116" s="255"/>
      <c r="I116" s="133">
        <v>3275.93</v>
      </c>
      <c r="J116" s="133"/>
      <c r="K116" s="186"/>
      <c r="L116" s="186"/>
      <c r="M116" s="186"/>
      <c r="N116" s="142">
        <f t="shared" si="162"/>
        <v>3931.1159999999995</v>
      </c>
      <c r="O116" s="142">
        <f t="shared" si="163"/>
        <v>0</v>
      </c>
      <c r="P116" s="151">
        <f t="shared" si="164"/>
        <v>3931.1159999999995</v>
      </c>
      <c r="Q116" s="142">
        <f t="shared" si="165"/>
        <v>0</v>
      </c>
      <c r="R116" s="142">
        <f t="shared" si="166"/>
        <v>3931.1159999999995</v>
      </c>
      <c r="S116" s="438"/>
    </row>
    <row r="117" spans="1:19" x14ac:dyDescent="0.25">
      <c r="A117" s="488"/>
      <c r="B117" s="501"/>
      <c r="C117" s="493"/>
      <c r="D117" s="239"/>
      <c r="E117" s="440" t="s">
        <v>167</v>
      </c>
      <c r="F117" s="446">
        <v>7187.05</v>
      </c>
      <c r="G117" s="186" t="s">
        <v>397</v>
      </c>
      <c r="H117" s="255"/>
      <c r="I117" s="133">
        <v>2395.69</v>
      </c>
      <c r="J117" s="133"/>
      <c r="K117" s="186"/>
      <c r="L117" s="186"/>
      <c r="M117" s="186"/>
      <c r="N117" s="142">
        <f t="shared" si="162"/>
        <v>2874.828</v>
      </c>
      <c r="O117" s="142">
        <f t="shared" si="163"/>
        <v>0</v>
      </c>
      <c r="P117" s="151">
        <f t="shared" si="164"/>
        <v>2874.828</v>
      </c>
      <c r="Q117" s="142">
        <f t="shared" si="165"/>
        <v>0</v>
      </c>
      <c r="R117" s="142">
        <f t="shared" si="166"/>
        <v>2874.828</v>
      </c>
      <c r="S117" s="438">
        <f>F117-SUM(R117:R118)</f>
        <v>-1.9999999994979589E-3</v>
      </c>
    </row>
    <row r="118" spans="1:19" ht="15.75" thickBot="1" x14ac:dyDescent="0.3">
      <c r="A118" s="488"/>
      <c r="B118" s="502"/>
      <c r="C118" s="495"/>
      <c r="D118" s="239"/>
      <c r="E118" s="441"/>
      <c r="F118" s="450"/>
      <c r="G118" s="192" t="s">
        <v>415</v>
      </c>
      <c r="H118" s="256"/>
      <c r="I118" s="314">
        <v>3593.52</v>
      </c>
      <c r="J118" s="191"/>
      <c r="K118" s="192"/>
      <c r="L118" s="192"/>
      <c r="M118" s="192"/>
      <c r="N118" s="143">
        <f t="shared" si="162"/>
        <v>4312.2240000000002</v>
      </c>
      <c r="O118" s="143">
        <f t="shared" si="163"/>
        <v>0</v>
      </c>
      <c r="P118" s="217">
        <f t="shared" si="164"/>
        <v>4312.2240000000002</v>
      </c>
      <c r="Q118" s="143">
        <f t="shared" si="165"/>
        <v>0</v>
      </c>
      <c r="R118" s="143">
        <f t="shared" si="166"/>
        <v>4312.2240000000002</v>
      </c>
      <c r="S118" s="443"/>
    </row>
    <row r="119" spans="1:19" s="254" customFormat="1" ht="34.5" customHeight="1" x14ac:dyDescent="0.25">
      <c r="A119" s="488"/>
      <c r="B119" s="500" t="s">
        <v>288</v>
      </c>
      <c r="C119" s="494" t="s">
        <v>289</v>
      </c>
      <c r="D119" s="545"/>
      <c r="E119" s="359" t="s">
        <v>297</v>
      </c>
      <c r="F119" s="291">
        <v>8664</v>
      </c>
      <c r="G119" s="360" t="s">
        <v>313</v>
      </c>
      <c r="H119" s="257"/>
      <c r="I119" s="250">
        <v>7220</v>
      </c>
      <c r="J119" s="250"/>
      <c r="K119" s="360"/>
      <c r="L119" s="360"/>
      <c r="M119" s="360"/>
      <c r="N119" s="251">
        <f>(I119+K119)*1.2</f>
        <v>8664</v>
      </c>
      <c r="O119" s="251">
        <f t="shared" ref="O119:O122" si="176">(J119+K119)*1.2</f>
        <v>0</v>
      </c>
      <c r="P119" s="252">
        <f>O119+N119-L119-M119</f>
        <v>8664</v>
      </c>
      <c r="Q119" s="251">
        <f t="shared" ref="Q119:Q122" si="177">K119*1.2</f>
        <v>0</v>
      </c>
      <c r="R119" s="251">
        <f>P119-ABS(Q119)</f>
        <v>8664</v>
      </c>
      <c r="S119" s="253">
        <f>F119-R119</f>
        <v>0</v>
      </c>
    </row>
    <row r="120" spans="1:19" ht="28.5" x14ac:dyDescent="0.25">
      <c r="A120" s="488"/>
      <c r="B120" s="501"/>
      <c r="C120" s="493"/>
      <c r="D120" s="546"/>
      <c r="E120" s="351" t="s">
        <v>371</v>
      </c>
      <c r="F120" s="311">
        <v>9731.25</v>
      </c>
      <c r="G120" s="186" t="s">
        <v>421</v>
      </c>
      <c r="H120" s="255"/>
      <c r="I120" s="133">
        <v>7785</v>
      </c>
      <c r="J120" s="133"/>
      <c r="K120" s="186"/>
      <c r="L120" s="186"/>
      <c r="M120" s="186"/>
      <c r="N120" s="142">
        <f t="shared" ref="N120:N122" si="178">(I120+K120)*1.2</f>
        <v>9342</v>
      </c>
      <c r="O120" s="142">
        <f t="shared" si="176"/>
        <v>0</v>
      </c>
      <c r="P120" s="151">
        <f t="shared" ref="P120:P122" si="179">O120+N120-L120-M120</f>
        <v>9342</v>
      </c>
      <c r="Q120" s="142">
        <f t="shared" si="177"/>
        <v>0</v>
      </c>
      <c r="R120" s="142">
        <f t="shared" ref="R120:R122" si="180">P120-ABS(Q120)</f>
        <v>9342</v>
      </c>
      <c r="S120" s="361">
        <f>F120-SUM(R120)</f>
        <v>389.25</v>
      </c>
    </row>
    <row r="121" spans="1:19" ht="15.75" thickBot="1" x14ac:dyDescent="0.3">
      <c r="A121" s="488"/>
      <c r="B121" s="502"/>
      <c r="C121" s="495"/>
      <c r="D121" s="547"/>
      <c r="E121" s="354" t="s">
        <v>423</v>
      </c>
      <c r="F121" s="315">
        <f>8898+903.08</f>
        <v>9801.08</v>
      </c>
      <c r="G121" s="192" t="s">
        <v>422</v>
      </c>
      <c r="H121" s="256"/>
      <c r="I121" s="314">
        <v>8167.57</v>
      </c>
      <c r="J121" s="191"/>
      <c r="K121" s="192"/>
      <c r="L121" s="192"/>
      <c r="M121" s="192"/>
      <c r="N121" s="143">
        <f t="shared" si="178"/>
        <v>9801.0839999999989</v>
      </c>
      <c r="O121" s="143">
        <f t="shared" si="176"/>
        <v>0</v>
      </c>
      <c r="P121" s="217">
        <f t="shared" si="179"/>
        <v>9801.0839999999989</v>
      </c>
      <c r="Q121" s="143">
        <f t="shared" si="177"/>
        <v>0</v>
      </c>
      <c r="R121" s="143">
        <f t="shared" si="180"/>
        <v>9801.0839999999989</v>
      </c>
      <c r="S121" s="352">
        <f>F121-SUM(R121:R121)</f>
        <v>-3.9999999989959178E-3</v>
      </c>
    </row>
    <row r="122" spans="1:19" ht="14.45" customHeight="1" x14ac:dyDescent="0.25">
      <c r="A122" s="488"/>
      <c r="B122" s="500" t="s">
        <v>290</v>
      </c>
      <c r="C122" s="494" t="s">
        <v>292</v>
      </c>
      <c r="D122" s="248"/>
      <c r="E122" s="312" t="s">
        <v>298</v>
      </c>
      <c r="F122" s="291">
        <v>12214.2</v>
      </c>
      <c r="G122" s="218">
        <v>2002387</v>
      </c>
      <c r="H122" s="257"/>
      <c r="I122" s="219">
        <v>9669.58</v>
      </c>
      <c r="J122" s="219"/>
      <c r="K122" s="218"/>
      <c r="L122" s="218"/>
      <c r="M122" s="218"/>
      <c r="N122" s="220">
        <f t="shared" si="178"/>
        <v>11603.495999999999</v>
      </c>
      <c r="O122" s="220">
        <f t="shared" si="176"/>
        <v>0</v>
      </c>
      <c r="P122" s="221">
        <f t="shared" si="179"/>
        <v>11603.495999999999</v>
      </c>
      <c r="Q122" s="220">
        <f t="shared" si="177"/>
        <v>0</v>
      </c>
      <c r="R122" s="220">
        <f t="shared" si="180"/>
        <v>11603.495999999999</v>
      </c>
      <c r="S122" s="247">
        <f>F122-SUM(R122:R122)</f>
        <v>610.70400000000154</v>
      </c>
    </row>
    <row r="123" spans="1:19" x14ac:dyDescent="0.25">
      <c r="A123" s="488"/>
      <c r="B123" s="501"/>
      <c r="C123" s="493"/>
      <c r="D123" s="239"/>
      <c r="E123" s="440" t="s">
        <v>399</v>
      </c>
      <c r="F123" s="429">
        <v>12852.47</v>
      </c>
      <c r="G123" s="186">
        <v>2002620</v>
      </c>
      <c r="H123" s="255"/>
      <c r="I123" s="133">
        <v>10175.290000000001</v>
      </c>
      <c r="J123" s="133"/>
      <c r="K123" s="186"/>
      <c r="L123" s="186"/>
      <c r="M123" s="186"/>
      <c r="N123" s="142">
        <f t="shared" ref="N123" si="181">(I123+K123)*1.2</f>
        <v>12210.348</v>
      </c>
      <c r="O123" s="142">
        <f t="shared" ref="O123" si="182">(J123+K123)*1.2</f>
        <v>0</v>
      </c>
      <c r="P123" s="151">
        <f t="shared" ref="P123" si="183">O123+N123-L123-M123</f>
        <v>12210.348</v>
      </c>
      <c r="Q123" s="142">
        <f t="shared" ref="Q123" si="184">K123*1.2</f>
        <v>0</v>
      </c>
      <c r="R123" s="142">
        <f t="shared" ref="R123" si="185">P123-ABS(Q123)</f>
        <v>12210.348</v>
      </c>
      <c r="S123" s="438">
        <f>F123-SUM(R123:R124)</f>
        <v>642.12199999999939</v>
      </c>
    </row>
    <row r="124" spans="1:19" ht="15.75" thickBot="1" x14ac:dyDescent="0.3">
      <c r="A124" s="488"/>
      <c r="B124" s="502"/>
      <c r="C124" s="495"/>
      <c r="D124" s="239"/>
      <c r="E124" s="441"/>
      <c r="F124" s="442"/>
      <c r="G124" s="192"/>
      <c r="H124" s="256"/>
      <c r="I124" s="191"/>
      <c r="J124" s="191"/>
      <c r="K124" s="192"/>
      <c r="L124" s="192"/>
      <c r="M124" s="192"/>
      <c r="N124" s="143"/>
      <c r="O124" s="143"/>
      <c r="P124" s="217"/>
      <c r="Q124" s="143"/>
      <c r="R124" s="143"/>
      <c r="S124" s="443"/>
    </row>
    <row r="125" spans="1:19" ht="14.45" customHeight="1" x14ac:dyDescent="0.25">
      <c r="A125" s="488"/>
      <c r="B125" s="500" t="s">
        <v>291</v>
      </c>
      <c r="C125" s="494" t="s">
        <v>293</v>
      </c>
      <c r="D125" s="248"/>
      <c r="E125" s="543" t="s">
        <v>353</v>
      </c>
      <c r="F125" s="454">
        <v>19148.400000000001</v>
      </c>
      <c r="G125" s="249" t="s">
        <v>311</v>
      </c>
      <c r="H125" s="257"/>
      <c r="I125" s="250">
        <v>14605.3</v>
      </c>
      <c r="J125" s="219"/>
      <c r="K125" s="218"/>
      <c r="L125" s="218"/>
      <c r="M125" s="218"/>
      <c r="N125" s="251">
        <f t="shared" ref="N125:N129" si="186">(I125+K125)*1.2</f>
        <v>17526.359999999997</v>
      </c>
      <c r="O125" s="251">
        <f t="shared" ref="O125:O129" si="187">(J125+K125)*1.2</f>
        <v>0</v>
      </c>
      <c r="P125" s="252">
        <f t="shared" ref="P125:P129" si="188">O125+N125-L125-M125</f>
        <v>17526.359999999997</v>
      </c>
      <c r="Q125" s="251">
        <f t="shared" ref="Q125:Q129" si="189">K125*1.2</f>
        <v>0</v>
      </c>
      <c r="R125" s="251">
        <f t="shared" ref="R125:R129" si="190">P125-ABS(Q125)</f>
        <v>17526.359999999997</v>
      </c>
      <c r="S125" s="455">
        <f>F125-SUM(R125:R126)</f>
        <v>0</v>
      </c>
    </row>
    <row r="126" spans="1:19" ht="14.45" customHeight="1" x14ac:dyDescent="0.25">
      <c r="A126" s="488"/>
      <c r="B126" s="501"/>
      <c r="C126" s="493"/>
      <c r="D126" s="239"/>
      <c r="E126" s="440"/>
      <c r="F126" s="446"/>
      <c r="G126" s="46" t="s">
        <v>355</v>
      </c>
      <c r="H126" s="255"/>
      <c r="I126" s="356">
        <v>1351.7</v>
      </c>
      <c r="J126" s="133"/>
      <c r="K126" s="186"/>
      <c r="L126" s="186"/>
      <c r="M126" s="186"/>
      <c r="N126" s="357">
        <f t="shared" ref="N126" si="191">(I126+K126)*1.2</f>
        <v>1622.04</v>
      </c>
      <c r="O126" s="357">
        <f t="shared" ref="O126" si="192">(J126+K126)*1.2</f>
        <v>0</v>
      </c>
      <c r="P126" s="358">
        <f t="shared" ref="P126" si="193">O126+N126-L126-M126</f>
        <v>1622.04</v>
      </c>
      <c r="Q126" s="357">
        <f t="shared" ref="Q126" si="194">K126*1.2</f>
        <v>0</v>
      </c>
      <c r="R126" s="357">
        <f t="shared" ref="R126" si="195">P126-ABS(Q126)</f>
        <v>1622.04</v>
      </c>
      <c r="S126" s="456"/>
    </row>
    <row r="127" spans="1:19" x14ac:dyDescent="0.25">
      <c r="A127" s="488"/>
      <c r="B127" s="501"/>
      <c r="C127" s="493"/>
      <c r="D127" s="239"/>
      <c r="E127" s="440" t="s">
        <v>354</v>
      </c>
      <c r="F127" s="429">
        <v>20262</v>
      </c>
      <c r="G127" s="186" t="s">
        <v>384</v>
      </c>
      <c r="H127" s="255"/>
      <c r="I127" s="322">
        <v>15181.2</v>
      </c>
      <c r="J127" s="133"/>
      <c r="K127" s="186"/>
      <c r="L127" s="186"/>
      <c r="M127" s="186"/>
      <c r="N127" s="142">
        <f t="shared" si="186"/>
        <v>18217.439999999999</v>
      </c>
      <c r="O127" s="142">
        <f t="shared" si="187"/>
        <v>0</v>
      </c>
      <c r="P127" s="151">
        <f t="shared" si="188"/>
        <v>18217.439999999999</v>
      </c>
      <c r="Q127" s="142">
        <f t="shared" si="189"/>
        <v>0</v>
      </c>
      <c r="R127" s="142">
        <f t="shared" si="190"/>
        <v>18217.439999999999</v>
      </c>
      <c r="S127" s="438">
        <f>(F127+F129)-SUM(R127:R129)</f>
        <v>842.88000000000466</v>
      </c>
    </row>
    <row r="128" spans="1:19" x14ac:dyDescent="0.25">
      <c r="A128" s="488"/>
      <c r="B128" s="501"/>
      <c r="C128" s="493"/>
      <c r="D128" s="239"/>
      <c r="E128" s="440"/>
      <c r="F128" s="429"/>
      <c r="G128" s="186" t="s">
        <v>405</v>
      </c>
      <c r="H128" s="255"/>
      <c r="I128" s="350">
        <v>1114.25</v>
      </c>
      <c r="J128" s="133"/>
      <c r="K128" s="186"/>
      <c r="L128" s="186"/>
      <c r="M128" s="186"/>
      <c r="N128" s="142">
        <f t="shared" si="186"/>
        <v>1337.1</v>
      </c>
      <c r="O128" s="142">
        <f t="shared" si="187"/>
        <v>0</v>
      </c>
      <c r="P128" s="151">
        <f t="shared" si="188"/>
        <v>1337.1</v>
      </c>
      <c r="Q128" s="142">
        <f t="shared" si="189"/>
        <v>0</v>
      </c>
      <c r="R128" s="142">
        <f t="shared" si="190"/>
        <v>1337.1</v>
      </c>
      <c r="S128" s="438"/>
    </row>
    <row r="129" spans="1:20" ht="15.75" thickBot="1" x14ac:dyDescent="0.3">
      <c r="A129" s="488"/>
      <c r="B129" s="502"/>
      <c r="C129" s="495"/>
      <c r="D129" s="240"/>
      <c r="E129" s="313" t="s">
        <v>404</v>
      </c>
      <c r="F129" s="318">
        <v>8072.4</v>
      </c>
      <c r="G129" s="209" t="s">
        <v>406</v>
      </c>
      <c r="H129" s="258"/>
      <c r="I129" s="210">
        <v>6614.15</v>
      </c>
      <c r="J129" s="210"/>
      <c r="K129" s="209"/>
      <c r="L129" s="209"/>
      <c r="M129" s="209"/>
      <c r="N129" s="211">
        <f t="shared" si="186"/>
        <v>7936.98</v>
      </c>
      <c r="O129" s="211">
        <f t="shared" si="187"/>
        <v>0</v>
      </c>
      <c r="P129" s="212">
        <f t="shared" si="188"/>
        <v>7936.98</v>
      </c>
      <c r="Q129" s="211">
        <f t="shared" si="189"/>
        <v>0</v>
      </c>
      <c r="R129" s="211">
        <f t="shared" si="190"/>
        <v>7936.98</v>
      </c>
      <c r="S129" s="439"/>
    </row>
    <row r="130" spans="1:20" ht="15" customHeight="1" x14ac:dyDescent="0.25">
      <c r="A130" s="137"/>
      <c r="B130" s="241"/>
      <c r="C130" s="213"/>
      <c r="D130" s="213"/>
      <c r="E130" s="283"/>
      <c r="F130" s="276"/>
      <c r="G130" s="213"/>
      <c r="H130" s="266"/>
      <c r="I130" s="243"/>
      <c r="J130" s="243"/>
      <c r="K130" s="213"/>
      <c r="L130" s="213"/>
      <c r="M130" s="213"/>
      <c r="N130" s="242"/>
      <c r="O130" s="242"/>
      <c r="P130" s="244"/>
      <c r="Q130" s="245">
        <f t="shared" si="1"/>
        <v>0</v>
      </c>
      <c r="R130" s="242"/>
      <c r="S130" s="246">
        <f t="shared" ref="S130" si="196">F130-R130</f>
        <v>0</v>
      </c>
    </row>
    <row r="131" spans="1:20" x14ac:dyDescent="0.25">
      <c r="A131" s="145"/>
      <c r="B131" s="141"/>
      <c r="C131" s="144"/>
      <c r="D131" s="144"/>
      <c r="E131" s="284"/>
      <c r="F131" s="277" t="s">
        <v>70</v>
      </c>
      <c r="G131" s="534"/>
      <c r="H131" s="535"/>
      <c r="I131" s="535"/>
      <c r="J131" s="535"/>
      <c r="K131" s="535"/>
      <c r="L131" s="535"/>
      <c r="M131" s="536"/>
      <c r="N131" s="414" t="s">
        <v>193</v>
      </c>
      <c r="O131" s="533"/>
      <c r="P131" s="540"/>
      <c r="Q131" s="541"/>
      <c r="R131" s="541"/>
      <c r="S131" s="542"/>
    </row>
    <row r="132" spans="1:20" ht="18.75" x14ac:dyDescent="0.25">
      <c r="A132" s="146"/>
      <c r="B132" s="417" t="s">
        <v>25</v>
      </c>
      <c r="C132" s="417"/>
      <c r="D132" s="417"/>
      <c r="E132" s="417"/>
      <c r="F132" s="195">
        <f>SUM(F2:F131)</f>
        <v>463805.4740000001</v>
      </c>
      <c r="G132" s="4"/>
      <c r="H132" s="267"/>
      <c r="I132" s="21"/>
      <c r="J132" s="21"/>
      <c r="K132" s="4"/>
      <c r="L132" s="4"/>
      <c r="M132" s="4"/>
      <c r="N132" s="95">
        <f>SUM(N2:N131)</f>
        <v>433118.77999999985</v>
      </c>
      <c r="O132" s="95">
        <f>SUM(O2:O131)</f>
        <v>22546</v>
      </c>
      <c r="P132" s="95">
        <f>SUM(P2:P131)</f>
        <v>455664.7799999998</v>
      </c>
      <c r="Q132" s="25">
        <f>SUM(Q2:Q130)</f>
        <v>0</v>
      </c>
      <c r="R132" s="95">
        <f>SUM(R2:R131)</f>
        <v>463584.7799999998</v>
      </c>
      <c r="S132" s="195">
        <f>SUM(S2:S131)</f>
        <v>15934.118000000022</v>
      </c>
      <c r="T132" s="69">
        <f>R132-S132</f>
        <v>447650.66199999978</v>
      </c>
    </row>
    <row r="133" spans="1:20" s="147" customFormat="1" ht="34.5" customHeight="1" x14ac:dyDescent="0.25">
      <c r="B133" s="148"/>
      <c r="C133" s="148"/>
      <c r="D133" s="148"/>
      <c r="E133" s="285"/>
      <c r="F133" s="278"/>
      <c r="G133" s="148"/>
      <c r="H133" s="268"/>
      <c r="I133" s="149"/>
      <c r="J133" s="149"/>
      <c r="K133" s="148"/>
      <c r="N133" s="152" t="s">
        <v>194</v>
      </c>
      <c r="O133" s="153">
        <f>N132+O132</f>
        <v>455664.77999999985</v>
      </c>
      <c r="P133" s="154"/>
      <c r="Q133" s="155" t="s">
        <v>80</v>
      </c>
      <c r="R133" s="156">
        <f>+P132-Q132</f>
        <v>455664.7799999998</v>
      </c>
      <c r="S133" s="196"/>
    </row>
    <row r="134" spans="1:20" x14ac:dyDescent="0.25">
      <c r="B134" s="1"/>
      <c r="C134" s="1"/>
      <c r="D134" s="99" t="s">
        <v>41</v>
      </c>
      <c r="E134" s="286"/>
      <c r="F134" s="279"/>
      <c r="G134" s="1"/>
      <c r="H134" s="269"/>
      <c r="I134" s="63"/>
      <c r="J134" s="63"/>
      <c r="K134" s="1"/>
      <c r="L134" s="1"/>
      <c r="M134" s="1"/>
      <c r="N134" s="537" t="s">
        <v>73</v>
      </c>
      <c r="O134" s="538"/>
      <c r="P134" s="538"/>
      <c r="Q134" s="539"/>
      <c r="R134" s="101">
        <f>R133/F132</f>
        <v>0.9824480424308224</v>
      </c>
      <c r="S134" s="62"/>
    </row>
    <row r="135" spans="1:20" x14ac:dyDescent="0.25">
      <c r="R135" s="157">
        <f>+R132+S132</f>
        <v>479518.89799999981</v>
      </c>
    </row>
    <row r="137" spans="1:20" x14ac:dyDescent="0.25">
      <c r="B137" s="393" t="s">
        <v>196</v>
      </c>
      <c r="C137" s="393"/>
      <c r="D137" s="393"/>
    </row>
    <row r="138" spans="1:20" x14ac:dyDescent="0.25">
      <c r="B138" s="105" t="s">
        <v>31</v>
      </c>
      <c r="C138" s="1"/>
      <c r="D138" s="1" t="s">
        <v>142</v>
      </c>
    </row>
    <row r="139" spans="1:20" x14ac:dyDescent="0.25">
      <c r="B139" s="1" t="s">
        <v>140</v>
      </c>
    </row>
    <row r="140" spans="1:20" x14ac:dyDescent="0.25">
      <c r="B140" s="1" t="s">
        <v>94</v>
      </c>
      <c r="C140" s="96"/>
      <c r="D140" s="96"/>
    </row>
    <row r="141" spans="1:20" x14ac:dyDescent="0.25">
      <c r="B141" s="1" t="s">
        <v>149</v>
      </c>
      <c r="C141" s="138"/>
      <c r="D141" s="1"/>
    </row>
    <row r="142" spans="1:20" x14ac:dyDescent="0.25">
      <c r="B142" s="105" t="s">
        <v>120</v>
      </c>
      <c r="C142" s="96">
        <f>SUM(C140:C141)</f>
        <v>0</v>
      </c>
      <c r="D142" s="1">
        <f>SUM(D140:D141)</f>
        <v>0</v>
      </c>
    </row>
    <row r="143" spans="1:20" x14ac:dyDescent="0.25">
      <c r="B143" s="139" t="s">
        <v>141</v>
      </c>
      <c r="C143" s="139"/>
      <c r="D143" s="139"/>
    </row>
    <row r="144" spans="1:20" x14ac:dyDescent="0.25">
      <c r="B144" s="139" t="s">
        <v>6</v>
      </c>
      <c r="C144" s="140"/>
      <c r="D144" s="139"/>
      <c r="E144" s="532"/>
    </row>
    <row r="145" spans="2:5" x14ac:dyDescent="0.25">
      <c r="B145" s="139" t="s">
        <v>147</v>
      </c>
      <c r="C145" s="139"/>
      <c r="D145" s="139"/>
      <c r="E145" s="532"/>
    </row>
    <row r="146" spans="2:5" x14ac:dyDescent="0.25">
      <c r="B146" s="139" t="s">
        <v>148</v>
      </c>
      <c r="C146" s="150">
        <f>C142+C145</f>
        <v>0</v>
      </c>
      <c r="D146" s="139">
        <f>D142+D145</f>
        <v>0</v>
      </c>
      <c r="E146" s="532"/>
    </row>
  </sheetData>
  <mergeCells count="115">
    <mergeCell ref="S85:S87"/>
    <mergeCell ref="E75:E80"/>
    <mergeCell ref="S75:S80"/>
    <mergeCell ref="E81:E84"/>
    <mergeCell ref="S105:S107"/>
    <mergeCell ref="F81:F84"/>
    <mergeCell ref="S81:S84"/>
    <mergeCell ref="F88:F90"/>
    <mergeCell ref="E88:E90"/>
    <mergeCell ref="G77:G78"/>
    <mergeCell ref="F85:F87"/>
    <mergeCell ref="E85:E87"/>
    <mergeCell ref="E144:E146"/>
    <mergeCell ref="N131:O131"/>
    <mergeCell ref="B132:E132"/>
    <mergeCell ref="G131:M131"/>
    <mergeCell ref="B122:B124"/>
    <mergeCell ref="C122:C124"/>
    <mergeCell ref="E114:E116"/>
    <mergeCell ref="E117:E118"/>
    <mergeCell ref="F114:F116"/>
    <mergeCell ref="N134:Q134"/>
    <mergeCell ref="B137:D137"/>
    <mergeCell ref="P131:S131"/>
    <mergeCell ref="C112:C118"/>
    <mergeCell ref="E127:E128"/>
    <mergeCell ref="F112:F113"/>
    <mergeCell ref="E112:E113"/>
    <mergeCell ref="S112:S113"/>
    <mergeCell ref="D119:D121"/>
    <mergeCell ref="E125:E126"/>
    <mergeCell ref="A2:A69"/>
    <mergeCell ref="C46:C55"/>
    <mergeCell ref="D46:D55"/>
    <mergeCell ref="E46:E55"/>
    <mergeCell ref="F46:F55"/>
    <mergeCell ref="B46:B55"/>
    <mergeCell ref="B67:B68"/>
    <mergeCell ref="C67:C68"/>
    <mergeCell ref="F26:F36"/>
    <mergeCell ref="B2:B45"/>
    <mergeCell ref="E37:E44"/>
    <mergeCell ref="D37:D44"/>
    <mergeCell ref="C2:C25"/>
    <mergeCell ref="D17:D25"/>
    <mergeCell ref="D2:D14"/>
    <mergeCell ref="C37:C44"/>
    <mergeCell ref="D26:D36"/>
    <mergeCell ref="C26:C36"/>
    <mergeCell ref="C56:C65"/>
    <mergeCell ref="B56:B65"/>
    <mergeCell ref="D56:D65"/>
    <mergeCell ref="E56:E65"/>
    <mergeCell ref="F56:F65"/>
    <mergeCell ref="A70:A129"/>
    <mergeCell ref="C70:C84"/>
    <mergeCell ref="C85:C90"/>
    <mergeCell ref="C125:C129"/>
    <mergeCell ref="B70:B84"/>
    <mergeCell ref="B85:B90"/>
    <mergeCell ref="B125:B129"/>
    <mergeCell ref="B112:B118"/>
    <mergeCell ref="C99:C107"/>
    <mergeCell ref="B99:B107"/>
    <mergeCell ref="C119:C121"/>
    <mergeCell ref="B119:B121"/>
    <mergeCell ref="C108:C111"/>
    <mergeCell ref="S17:S25"/>
    <mergeCell ref="E2:E25"/>
    <mergeCell ref="F17:F25"/>
    <mergeCell ref="S2:S16"/>
    <mergeCell ref="F2:F16"/>
    <mergeCell ref="S70:S74"/>
    <mergeCell ref="E70:E74"/>
    <mergeCell ref="F70:F74"/>
    <mergeCell ref="S46:S55"/>
    <mergeCell ref="E26:E36"/>
    <mergeCell ref="F37:F45"/>
    <mergeCell ref="S26:S36"/>
    <mergeCell ref="S37:S45"/>
    <mergeCell ref="S56:S65"/>
    <mergeCell ref="G70:G71"/>
    <mergeCell ref="S88:S90"/>
    <mergeCell ref="S114:S116"/>
    <mergeCell ref="S117:S118"/>
    <mergeCell ref="F99:F101"/>
    <mergeCell ref="E99:E101"/>
    <mergeCell ref="F127:F128"/>
    <mergeCell ref="E93:E95"/>
    <mergeCell ref="F93:F95"/>
    <mergeCell ref="S93:S95"/>
    <mergeCell ref="F117:F118"/>
    <mergeCell ref="E96:E98"/>
    <mergeCell ref="F96:F98"/>
    <mergeCell ref="F125:F126"/>
    <mergeCell ref="S125:S126"/>
    <mergeCell ref="S99:S101"/>
    <mergeCell ref="F105:F107"/>
    <mergeCell ref="E105:E107"/>
    <mergeCell ref="E109:E110"/>
    <mergeCell ref="F109:F110"/>
    <mergeCell ref="S109:S110"/>
    <mergeCell ref="F102:F104"/>
    <mergeCell ref="E102:E104"/>
    <mergeCell ref="S102:S104"/>
    <mergeCell ref="F91:F92"/>
    <mergeCell ref="E91:E92"/>
    <mergeCell ref="B91:B98"/>
    <mergeCell ref="C91:C98"/>
    <mergeCell ref="S91:S92"/>
    <mergeCell ref="S96:S98"/>
    <mergeCell ref="S127:S129"/>
    <mergeCell ref="E123:E124"/>
    <mergeCell ref="F123:F124"/>
    <mergeCell ref="S123:S124"/>
  </mergeCells>
  <phoneticPr fontId="24" type="noConversion"/>
  <printOptions horizontalCentered="1"/>
  <pageMargins left="0.19685039370078741" right="0.19685039370078741" top="0.19685039370078741" bottom="0.19685039370078741" header="0.31496062992125984" footer="0.31496062992125984"/>
  <pageSetup paperSize="9" scale="4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AD84-949D-4FA1-BA8F-206F0E5C70DC}">
  <dimension ref="B3:F15"/>
  <sheetViews>
    <sheetView workbookViewId="0">
      <selection activeCell="C29" sqref="C29"/>
    </sheetView>
  </sheetViews>
  <sheetFormatPr baseColWidth="10" defaultRowHeight="15" x14ac:dyDescent="0.25"/>
  <cols>
    <col min="2" max="2" width="12.85546875" style="51" bestFit="1" customWidth="1"/>
    <col min="3" max="3" width="28.5703125" style="51" customWidth="1"/>
    <col min="4" max="4" width="14.140625" style="51" bestFit="1" customWidth="1"/>
    <col min="5" max="5" width="18.5703125" style="51" bestFit="1" customWidth="1"/>
    <col min="6" max="6" width="11.5703125" style="51"/>
  </cols>
  <sheetData>
    <row r="3" spans="2:6" x14ac:dyDescent="0.25">
      <c r="B3" s="200" t="s">
        <v>257</v>
      </c>
      <c r="C3" s="200" t="s">
        <v>255</v>
      </c>
      <c r="D3" s="200" t="s">
        <v>256</v>
      </c>
      <c r="E3" s="200" t="s">
        <v>258</v>
      </c>
    </row>
    <row r="4" spans="2:6" x14ac:dyDescent="0.25">
      <c r="B4" s="51" t="s">
        <v>259</v>
      </c>
      <c r="C4" s="201">
        <v>765</v>
      </c>
      <c r="D4" s="201">
        <v>420.75</v>
      </c>
      <c r="E4" s="201">
        <v>344.25</v>
      </c>
      <c r="F4" s="202">
        <f>SUM(D4:E4)</f>
        <v>765</v>
      </c>
    </row>
    <row r="5" spans="2:6" x14ac:dyDescent="0.25">
      <c r="B5" s="51" t="s">
        <v>260</v>
      </c>
      <c r="C5" s="201">
        <v>765</v>
      </c>
      <c r="D5" s="201">
        <v>420.75</v>
      </c>
      <c r="E5" s="201">
        <v>344.25</v>
      </c>
      <c r="F5" s="202">
        <f t="shared" ref="F5:F12" si="0">SUM(D5:E5)</f>
        <v>765</v>
      </c>
    </row>
    <row r="6" spans="2:6" x14ac:dyDescent="0.25">
      <c r="B6" s="51" t="s">
        <v>261</v>
      </c>
      <c r="C6" s="201">
        <v>1530</v>
      </c>
      <c r="D6" s="201">
        <v>841.5</v>
      </c>
      <c r="E6" s="201">
        <v>688.5</v>
      </c>
      <c r="F6" s="202">
        <f t="shared" si="0"/>
        <v>1530</v>
      </c>
    </row>
    <row r="7" spans="2:6" x14ac:dyDescent="0.25">
      <c r="B7" s="51" t="s">
        <v>262</v>
      </c>
      <c r="C7" s="201">
        <v>1530</v>
      </c>
      <c r="D7" s="201">
        <v>841</v>
      </c>
      <c r="E7" s="201">
        <v>688.5</v>
      </c>
      <c r="F7" s="202">
        <f t="shared" si="0"/>
        <v>1529.5</v>
      </c>
    </row>
    <row r="8" spans="2:6" x14ac:dyDescent="0.25">
      <c r="B8" s="51" t="s">
        <v>263</v>
      </c>
      <c r="C8" s="201">
        <v>1530</v>
      </c>
      <c r="D8" s="201">
        <v>841</v>
      </c>
      <c r="E8" s="201">
        <v>688.5</v>
      </c>
      <c r="F8" s="202">
        <f t="shared" si="0"/>
        <v>1529.5</v>
      </c>
    </row>
    <row r="9" spans="2:6" x14ac:dyDescent="0.25">
      <c r="B9" s="51" t="s">
        <v>264</v>
      </c>
      <c r="C9" s="201">
        <v>1530</v>
      </c>
      <c r="D9" s="201">
        <v>459</v>
      </c>
      <c r="E9" s="201">
        <v>1071</v>
      </c>
      <c r="F9" s="202">
        <f t="shared" si="0"/>
        <v>1530</v>
      </c>
    </row>
    <row r="10" spans="2:6" x14ac:dyDescent="0.25">
      <c r="B10" s="51" t="s">
        <v>265</v>
      </c>
      <c r="C10" s="201">
        <v>4590</v>
      </c>
      <c r="D10" s="201">
        <v>3213</v>
      </c>
      <c r="E10" s="201">
        <v>1377</v>
      </c>
      <c r="F10" s="202">
        <f t="shared" si="0"/>
        <v>4590</v>
      </c>
    </row>
    <row r="11" spans="2:6" x14ac:dyDescent="0.25">
      <c r="B11" s="51" t="s">
        <v>266</v>
      </c>
      <c r="C11" s="201">
        <v>1530</v>
      </c>
      <c r="D11" s="201">
        <v>1071</v>
      </c>
      <c r="E11" s="201">
        <v>459</v>
      </c>
      <c r="F11" s="202">
        <f t="shared" si="0"/>
        <v>1530</v>
      </c>
    </row>
    <row r="12" spans="2:6" x14ac:dyDescent="0.25">
      <c r="B12" s="51" t="s">
        <v>267</v>
      </c>
      <c r="C12" s="201">
        <v>1530</v>
      </c>
      <c r="D12" s="201">
        <v>1530</v>
      </c>
      <c r="E12" s="201">
        <v>0</v>
      </c>
      <c r="F12" s="202">
        <f t="shared" si="0"/>
        <v>1530</v>
      </c>
    </row>
    <row r="13" spans="2:6" x14ac:dyDescent="0.25">
      <c r="C13" s="201"/>
      <c r="D13" s="201"/>
      <c r="E13" s="201"/>
      <c r="F13" s="203">
        <f>SUM(F4:F12)</f>
        <v>15299</v>
      </c>
    </row>
    <row r="14" spans="2:6" x14ac:dyDescent="0.25">
      <c r="B14" s="51" t="s">
        <v>268</v>
      </c>
      <c r="C14" s="201">
        <f>SUM(C4:C12)</f>
        <v>15300</v>
      </c>
      <c r="D14" s="201">
        <f>SUM(D4:D12)</f>
        <v>9638</v>
      </c>
      <c r="E14" s="201">
        <f>SUM(E4:E12)</f>
        <v>5661</v>
      </c>
      <c r="F14" s="202">
        <f>SUM(D14:E14)</f>
        <v>15299</v>
      </c>
    </row>
    <row r="15" spans="2:6" x14ac:dyDescent="0.25">
      <c r="B15" s="204" t="s">
        <v>269</v>
      </c>
      <c r="C15" s="205">
        <f>C14*1.2</f>
        <v>18360</v>
      </c>
      <c r="D15" s="205">
        <f t="shared" ref="D15:E15" si="1">D14*1.2</f>
        <v>11565.6</v>
      </c>
      <c r="E15" s="205">
        <f t="shared" si="1"/>
        <v>6793.2</v>
      </c>
    </row>
  </sheetData>
  <pageMargins left="0.7" right="0.7" top="0.75" bottom="0.75" header="0.3" footer="0.3"/>
  <ignoredErrors>
    <ignoredError sqref="F4:F12" formulaRange="1"/>
    <ignoredError sqref="F1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CF5EC-501C-41D4-B5CC-2AD55F1D1615}">
  <dimension ref="A1:D11"/>
  <sheetViews>
    <sheetView workbookViewId="0">
      <selection activeCell="D36" sqref="D36"/>
    </sheetView>
  </sheetViews>
  <sheetFormatPr baseColWidth="10" defaultRowHeight="15" x14ac:dyDescent="0.25"/>
  <cols>
    <col min="1" max="1" width="18.28515625" customWidth="1"/>
    <col min="2" max="2" width="21.85546875" customWidth="1"/>
    <col min="3" max="3" width="26.42578125" customWidth="1"/>
    <col min="4" max="4" width="21.28515625" customWidth="1"/>
  </cols>
  <sheetData>
    <row r="1" spans="1:4" ht="15.75" x14ac:dyDescent="0.25">
      <c r="A1" s="417" t="s">
        <v>139</v>
      </c>
      <c r="B1" s="417"/>
      <c r="C1" s="417"/>
      <c r="D1" s="106"/>
    </row>
    <row r="2" spans="1:4" ht="15.75" x14ac:dyDescent="0.25">
      <c r="A2" s="107" t="s">
        <v>31</v>
      </c>
      <c r="B2" s="108" t="s">
        <v>143</v>
      </c>
      <c r="C2" s="108" t="s">
        <v>142</v>
      </c>
      <c r="D2" s="106" t="s">
        <v>150</v>
      </c>
    </row>
    <row r="3" spans="1:4" ht="15.75" x14ac:dyDescent="0.25">
      <c r="A3" s="106" t="s">
        <v>140</v>
      </c>
      <c r="B3" s="106">
        <v>424621.31</v>
      </c>
      <c r="C3" s="106">
        <v>91543.89</v>
      </c>
      <c r="D3" s="106">
        <f>B3-C3</f>
        <v>333077.42</v>
      </c>
    </row>
    <row r="4" spans="1:4" ht="15.75" x14ac:dyDescent="0.25">
      <c r="A4" s="106" t="s">
        <v>94</v>
      </c>
      <c r="B4" s="106">
        <v>5324.4</v>
      </c>
      <c r="C4" s="106">
        <v>5324.4</v>
      </c>
      <c r="D4" s="106"/>
    </row>
    <row r="5" spans="1:4" ht="15.75" x14ac:dyDescent="0.25">
      <c r="A5" s="106" t="s">
        <v>149</v>
      </c>
      <c r="B5" s="106">
        <f>SUM(B3:B4)</f>
        <v>429945.71</v>
      </c>
      <c r="C5" s="106">
        <f>SUM(C3:C4)</f>
        <v>96868.29</v>
      </c>
      <c r="D5" s="106">
        <v>333077.42</v>
      </c>
    </row>
    <row r="6" spans="1:4" ht="15.75" x14ac:dyDescent="0.25">
      <c r="A6" s="107" t="s">
        <v>120</v>
      </c>
      <c r="B6" s="106" t="s">
        <v>144</v>
      </c>
      <c r="C6" s="106"/>
      <c r="D6" s="106"/>
    </row>
    <row r="7" spans="1:4" ht="15.75" x14ac:dyDescent="0.25">
      <c r="A7" s="106" t="s">
        <v>141</v>
      </c>
      <c r="B7" s="106">
        <v>474850.51</v>
      </c>
      <c r="C7" s="106">
        <v>192012.26</v>
      </c>
      <c r="D7" s="106">
        <f>B7-C7</f>
        <v>282838.25</v>
      </c>
    </row>
    <row r="8" spans="1:4" ht="15.75" x14ac:dyDescent="0.25">
      <c r="A8" s="106" t="s">
        <v>6</v>
      </c>
      <c r="B8" s="109">
        <v>4278858.72</v>
      </c>
      <c r="C8" s="106">
        <v>4278858.72</v>
      </c>
      <c r="D8" s="106">
        <v>0</v>
      </c>
    </row>
    <row r="9" spans="1:4" ht="15.75" x14ac:dyDescent="0.25">
      <c r="A9" s="106" t="s">
        <v>147</v>
      </c>
      <c r="B9" s="106">
        <f>SUM(B7:B8)</f>
        <v>4753709.2299999995</v>
      </c>
      <c r="C9" s="106">
        <f>SUM(C7:C8)</f>
        <v>4470870.9799999995</v>
      </c>
      <c r="D9" s="106"/>
    </row>
    <row r="10" spans="1:4" ht="15.75" x14ac:dyDescent="0.25">
      <c r="A10" s="106" t="s">
        <v>148</v>
      </c>
      <c r="B10" s="106">
        <f>B5+B9</f>
        <v>5183654.9399999995</v>
      </c>
      <c r="C10" s="106">
        <f>C5+C9</f>
        <v>4567739.2699999996</v>
      </c>
      <c r="D10" s="106">
        <f>SUM(D3:D9)</f>
        <v>948993.09</v>
      </c>
    </row>
    <row r="11" spans="1:4" ht="15.75" x14ac:dyDescent="0.25">
      <c r="A11" s="110"/>
      <c r="B11" s="110"/>
      <c r="C11" s="110"/>
      <c r="D11" s="110"/>
    </row>
  </sheetData>
  <mergeCells count="1">
    <mergeCell ref="A1:C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1</vt:i4>
      </vt:variant>
    </vt:vector>
  </HeadingPairs>
  <TitlesOfParts>
    <vt:vector size="8" baseType="lpstr">
      <vt:lpstr>Erreurs</vt:lpstr>
      <vt:lpstr>Initial incomplet-faux</vt:lpstr>
      <vt:lpstr>A jour</vt:lpstr>
      <vt:lpstr>ADMIN</vt:lpstr>
      <vt:lpstr>FINANCIER</vt:lpstr>
      <vt:lpstr>MOE</vt:lpstr>
      <vt:lpstr>Feuil1</vt:lpstr>
      <vt:lpstr>ADMIN!Zone_d_impression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Vatinel Laurence</dc:creator>
  <cp:lastModifiedBy>Parois Celine</cp:lastModifiedBy>
  <cp:lastPrinted>2024-09-18T14:42:10Z</cp:lastPrinted>
  <dcterms:created xsi:type="dcterms:W3CDTF">2022-02-09T13:32:48Z</dcterms:created>
  <dcterms:modified xsi:type="dcterms:W3CDTF">2025-11-03T14:14:25Z</dcterms:modified>
</cp:coreProperties>
</file>